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 tabRatio="500" firstSheet="1" activeTab="4"/>
  </bookViews>
  <sheets>
    <sheet name="表2_描述性统计" sheetId="1" r:id="rId1"/>
    <sheet name="表5_推断统计_原方法" sheetId="2" r:id="rId2"/>
    <sheet name="表7_结果可复现性评级" sheetId="3" r:id="rId3"/>
    <sheet name="表8_推论一致性评级" sheetId="4" r:id="rId4"/>
    <sheet name="表10_不可复现原因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<sst xmlns="http://schemas.openxmlformats.org/spreadsheetml/2006/main" count="200" uniqueCount="114">
  <si>
    <r>
      <rPr>
        <b/>
        <sz val="13"/>
        <rFont val="DejaVu Sans"/>
        <charset val="134"/>
      </rPr>
      <t xml:space="preserve">表 </t>
    </r>
    <r>
      <rPr>
        <b/>
        <sz val="13"/>
        <rFont val="DejaVu Sans"/>
        <charset val="1"/>
      </rPr>
      <t xml:space="preserve">2  </t>
    </r>
    <r>
      <rPr>
        <b/>
        <sz val="13"/>
        <rFont val="DejaVu Sans"/>
        <charset val="134"/>
      </rPr>
      <t>描述性统计结果的比较</t>
    </r>
  </si>
  <si>
    <r>
      <rPr>
        <i/>
        <sz val="9"/>
        <color rgb="FF595959"/>
        <rFont val="DejaVu Sans"/>
        <charset val="134"/>
      </rPr>
      <t>说明：本文献为网络分析研究，原文未报告各题</t>
    </r>
    <r>
      <rPr>
        <i/>
        <sz val="9"/>
        <color rgb="FF595959"/>
        <rFont val="DejaVu Sans"/>
        <charset val="1"/>
      </rPr>
      <t>/</t>
    </r>
    <r>
      <rPr>
        <i/>
        <sz val="9"/>
        <color rgb="FF595959"/>
        <rFont val="DejaVu Sans"/>
        <charset val="134"/>
      </rPr>
      <t xml:space="preserve">各 </t>
    </r>
    <r>
      <rPr>
        <i/>
        <sz val="9"/>
        <color rgb="FF595959"/>
        <rFont val="DejaVu Sans"/>
        <charset val="1"/>
      </rPr>
      <t xml:space="preserve">facet </t>
    </r>
    <r>
      <rPr>
        <i/>
        <sz val="9"/>
        <color rgb="FF595959"/>
        <rFont val="DejaVu Sans"/>
        <charset val="134"/>
      </rPr>
      <t xml:space="preserve">的均值与标准差（正文 </t>
    </r>
    <r>
      <rPr>
        <i/>
        <sz val="9"/>
        <color rgb="FF595959"/>
        <rFont val="DejaVu Sans"/>
        <charset val="1"/>
      </rPr>
      <t xml:space="preserve">Table 1–3 </t>
    </r>
    <r>
      <rPr>
        <i/>
        <sz val="9"/>
        <color rgb="FF595959"/>
        <rFont val="DejaVu Sans"/>
        <charset val="134"/>
      </rPr>
      <t xml:space="preserve">与 </t>
    </r>
    <r>
      <rPr>
        <i/>
        <sz val="9"/>
        <color rgb="FF595959"/>
        <rFont val="DejaVu Sans"/>
        <charset val="1"/>
      </rPr>
      <t xml:space="preserve">SI </t>
    </r>
    <r>
      <rPr>
        <i/>
        <sz val="9"/>
        <color rgb="FF595959"/>
        <rFont val="DejaVu Sans"/>
        <charset val="134"/>
      </rPr>
      <t xml:space="preserve">仅报告 </t>
    </r>
    <r>
      <rPr>
        <i/>
        <sz val="9"/>
        <color rgb="FF595959"/>
        <rFont val="DejaVu Sans"/>
        <charset val="1"/>
      </rPr>
      <t xml:space="preserve">Rasch </t>
    </r>
    <r>
      <rPr>
        <i/>
        <sz val="9"/>
        <color rgb="FF595959"/>
        <rFont val="DejaVu Sans"/>
        <charset val="134"/>
      </rPr>
      <t xml:space="preserve">信度 </t>
    </r>
    <r>
      <rPr>
        <i/>
        <sz val="9"/>
        <color rgb="FF595959"/>
        <rFont val="DejaVu Sans"/>
        <charset val="1"/>
      </rPr>
      <t>Rr</t>
    </r>
    <r>
      <rPr>
        <i/>
        <sz val="9"/>
        <color rgb="FF595959"/>
        <rFont val="DejaVu Sans"/>
        <charset val="134"/>
      </rPr>
      <t xml:space="preserve">），故描述性统计的可复现性检验聚焦于【样本量 </t>
    </r>
    <r>
      <rPr>
        <i/>
        <sz val="9"/>
        <color rgb="FF595959"/>
        <rFont val="DejaVu Sans"/>
        <charset val="1"/>
      </rPr>
      <t>N</t>
    </r>
    <r>
      <rPr>
        <i/>
        <sz val="9"/>
        <color rgb="FF595959"/>
        <rFont val="DejaVu Sans"/>
        <charset val="134"/>
      </rPr>
      <t>】——这也是指南强调的、影响后续推断统计有效性的关键描述指标。</t>
    </r>
  </si>
  <si>
    <t>描述统计量</t>
  </si>
  <si>
    <r>
      <rPr>
        <b/>
        <sz val="10"/>
        <color rgb="FFFFFFFF"/>
        <rFont val="DejaVu Sans"/>
        <charset val="134"/>
      </rPr>
      <t xml:space="preserve">总样本 </t>
    </r>
    <r>
      <rPr>
        <b/>
        <sz val="10"/>
        <color rgb="FFFFFFFF"/>
        <rFont val="DejaVu Sans"/>
        <charset val="1"/>
      </rPr>
      <t>N</t>
    </r>
  </si>
  <si>
    <r>
      <rPr>
        <b/>
        <sz val="10"/>
        <color rgb="FFFFFFFF"/>
        <rFont val="DejaVu Sans"/>
        <charset val="134"/>
      </rPr>
      <t>样本</t>
    </r>
    <r>
      <rPr>
        <b/>
        <sz val="10"/>
        <color rgb="FFFFFFFF"/>
        <rFont val="DejaVu Sans"/>
        <charset val="1"/>
      </rPr>
      <t xml:space="preserve">1 N
(Fall 2015 </t>
    </r>
    <r>
      <rPr>
        <b/>
        <sz val="10"/>
        <color rgb="FFFFFFFF"/>
        <rFont val="DejaVu Sans"/>
        <charset val="134"/>
      </rPr>
      <t>大学生</t>
    </r>
    <r>
      <rPr>
        <b/>
        <sz val="10"/>
        <color rgb="FFFFFFFF"/>
        <rFont val="DejaVu Sans"/>
        <charset val="1"/>
      </rPr>
      <t>)</t>
    </r>
  </si>
  <si>
    <r>
      <rPr>
        <b/>
        <sz val="10"/>
        <color rgb="FFFFFFFF"/>
        <rFont val="DejaVu Sans"/>
        <charset val="134"/>
      </rPr>
      <t>样本</t>
    </r>
    <r>
      <rPr>
        <b/>
        <sz val="10"/>
        <color rgb="FFFFFFFF"/>
        <rFont val="DejaVu Sans"/>
        <charset val="1"/>
      </rPr>
      <t xml:space="preserve">2 N
(Spring 2017 </t>
    </r>
    <r>
      <rPr>
        <b/>
        <sz val="10"/>
        <color rgb="FFFFFFFF"/>
        <rFont val="DejaVu Sans"/>
        <charset val="134"/>
      </rPr>
      <t>大学生</t>
    </r>
    <r>
      <rPr>
        <b/>
        <sz val="10"/>
        <color rgb="FFFFFFFF"/>
        <rFont val="DejaVu Sans"/>
        <charset val="1"/>
      </rPr>
      <t>)</t>
    </r>
  </si>
  <si>
    <r>
      <rPr>
        <b/>
        <sz val="10"/>
        <color rgb="FFFFFFFF"/>
        <rFont val="DejaVu Sans"/>
        <charset val="134"/>
      </rPr>
      <t>样本</t>
    </r>
    <r>
      <rPr>
        <b/>
        <sz val="10"/>
        <color rgb="FFFFFFFF"/>
        <rFont val="DejaVu Sans"/>
        <charset val="1"/>
      </rPr>
      <t>3 N
(Mturk)</t>
    </r>
  </si>
  <si>
    <r>
      <rPr>
        <b/>
        <sz val="10"/>
        <color rgb="FFFFFFFF"/>
        <rFont val="DejaVu Sans"/>
        <charset val="134"/>
      </rPr>
      <t xml:space="preserve">各题 </t>
    </r>
    <r>
      <rPr>
        <b/>
        <sz val="10"/>
        <color rgb="FFFFFFFF"/>
        <rFont val="DejaVu Sans"/>
        <charset val="1"/>
      </rPr>
      <t>Mean</t>
    </r>
  </si>
  <si>
    <r>
      <rPr>
        <b/>
        <sz val="10"/>
        <color rgb="FFFFFFFF"/>
        <rFont val="DejaVu Sans"/>
        <charset val="134"/>
      </rPr>
      <t xml:space="preserve">各题 </t>
    </r>
    <r>
      <rPr>
        <b/>
        <sz val="10"/>
        <color rgb="FFFFFFFF"/>
        <rFont val="DejaVu Sans"/>
        <charset val="1"/>
      </rPr>
      <t>SD</t>
    </r>
  </si>
  <si>
    <t>原研究报告结果</t>
  </si>
  <si>
    <t>原文未报告</t>
  </si>
  <si>
    <t>本研究（复现）</t>
  </si>
  <si>
    <t>—（可计算，无对比基准）</t>
  </si>
  <si>
    <t>PE (%)</t>
  </si>
  <si>
    <t>—</t>
  </si>
  <si>
    <t>可复现性评级</t>
  </si>
  <si>
    <t>完全一致</t>
  </si>
  <si>
    <t>无法比较</t>
  </si>
  <si>
    <t>数据来源与说明：</t>
  </si>
  <si>
    <r>
      <rPr>
        <sz val="9"/>
        <color rgb="FF404040"/>
        <rFont val="DejaVu Sans"/>
        <charset val="134"/>
      </rPr>
      <t>① 原研究样本量来源：</t>
    </r>
    <r>
      <rPr>
        <sz val="9"/>
        <color rgb="FF404040"/>
        <rFont val="DejaVu Sans"/>
        <charset val="1"/>
      </rPr>
      <t>SI 7</t>
    </r>
    <r>
      <rPr>
        <sz val="9"/>
        <color rgb="FF404040"/>
        <rFont val="DejaVu Sans"/>
        <charset val="134"/>
      </rPr>
      <t>（</t>
    </r>
    <r>
      <rPr>
        <sz val="9"/>
        <color rgb="FF404040"/>
        <rFont val="DejaVu Sans"/>
        <charset val="1"/>
      </rPr>
      <t xml:space="preserve">MANOVA </t>
    </r>
    <r>
      <rPr>
        <sz val="9"/>
        <color rgb="FF404040"/>
        <rFont val="DejaVu Sans"/>
        <charset val="134"/>
      </rPr>
      <t xml:space="preserve">各组 </t>
    </r>
    <r>
      <rPr>
        <sz val="9"/>
        <color rgb="FF404040"/>
        <rFont val="DejaVu Sans"/>
        <charset val="1"/>
      </rPr>
      <t xml:space="preserve">n </t>
    </r>
    <r>
      <rPr>
        <sz val="9"/>
        <color rgb="FF404040"/>
        <rFont val="DejaVu Sans"/>
        <charset val="134"/>
      </rPr>
      <t>标注：</t>
    </r>
    <r>
      <rPr>
        <sz val="9"/>
        <color rgb="FF404040"/>
        <rFont val="DejaVu Sans"/>
        <charset val="1"/>
      </rPr>
      <t>n=176 / 108 / 518</t>
    </r>
    <r>
      <rPr>
        <sz val="9"/>
        <color rgb="FF404040"/>
        <rFont val="DejaVu Sans"/>
        <charset val="134"/>
      </rPr>
      <t>）</t>
    </r>
    <r>
      <rPr>
        <sz val="9"/>
        <color rgb="FF404040"/>
        <rFont val="DejaVu Sans"/>
        <charset val="1"/>
      </rPr>
      <t>+ Data Cleaning Notes.docx</t>
    </r>
    <r>
      <rPr>
        <sz val="9"/>
        <color rgb="FF404040"/>
        <rFont val="DejaVu Sans"/>
        <charset val="134"/>
      </rPr>
      <t>（</t>
    </r>
    <r>
      <rPr>
        <sz val="9"/>
        <color rgb="FF404040"/>
        <rFont val="DejaVu Sans"/>
        <charset val="1"/>
      </rPr>
      <t xml:space="preserve">955 </t>
    </r>
    <r>
      <rPr>
        <sz val="9"/>
        <color rgb="FF404040"/>
        <rFont val="DejaVu Sans"/>
        <charset val="134"/>
      </rPr>
      <t xml:space="preserve">招募 → 删 </t>
    </r>
    <r>
      <rPr>
        <sz val="9"/>
        <color rgb="FF404040"/>
        <rFont val="DejaVu Sans"/>
        <charset val="1"/>
      </rPr>
      <t xml:space="preserve">121 → </t>
    </r>
    <r>
      <rPr>
        <sz val="9"/>
        <color rgb="FF404040"/>
        <rFont val="DejaVu Sans"/>
        <charset val="134"/>
      </rPr>
      <t xml:space="preserve">删 </t>
    </r>
    <r>
      <rPr>
        <sz val="9"/>
        <color rgb="FF404040"/>
        <rFont val="DejaVu Sans"/>
        <charset val="1"/>
      </rPr>
      <t xml:space="preserve">33 → </t>
    </r>
    <r>
      <rPr>
        <sz val="9"/>
        <color rgb="FF404040"/>
        <rFont val="DejaVu Sans"/>
        <charset val="134"/>
      </rPr>
      <t xml:space="preserve">最终 </t>
    </r>
    <r>
      <rPr>
        <sz val="9"/>
        <color rgb="FF404040"/>
        <rFont val="DejaVu Sans"/>
        <charset val="1"/>
      </rPr>
      <t>802</t>
    </r>
    <r>
      <rPr>
        <sz val="9"/>
        <color rgb="FF404040"/>
        <rFont val="DejaVu Sans"/>
        <charset val="134"/>
      </rPr>
      <t>）。</t>
    </r>
  </si>
  <si>
    <r>
      <rPr>
        <sz val="9"/>
        <color rgb="FF404040"/>
        <rFont val="DejaVu Sans"/>
        <charset val="134"/>
      </rPr>
      <t xml:space="preserve">② 本研究样本量：分析文件 </t>
    </r>
    <r>
      <rPr>
        <sz val="9"/>
        <color rgb="FF404040"/>
        <rFont val="DejaVu Sans"/>
        <charset val="1"/>
      </rPr>
      <t xml:space="preserve">.sav </t>
    </r>
    <r>
      <rPr>
        <sz val="9"/>
        <color rgb="FF404040"/>
        <rFont val="DejaVu Sans"/>
        <charset val="134"/>
      </rPr>
      <t xml:space="preserve">缺失分组变量 </t>
    </r>
    <r>
      <rPr>
        <sz val="9"/>
        <color rgb="FF404040"/>
        <rFont val="DejaVu Sans"/>
        <charset val="1"/>
      </rPr>
      <t>Group</t>
    </r>
    <r>
      <rPr>
        <sz val="9"/>
        <color rgb="FF404040"/>
        <rFont val="DejaVu Sans"/>
        <charset val="134"/>
      </rPr>
      <t xml:space="preserve">，故用 </t>
    </r>
    <r>
      <rPr>
        <sz val="9"/>
        <color rgb="FF404040"/>
        <rFont val="DejaVu Sans"/>
        <charset val="1"/>
      </rPr>
      <t xml:space="preserve">138 </t>
    </r>
    <r>
      <rPr>
        <sz val="9"/>
        <color rgb="FF404040"/>
        <rFont val="DejaVu Sans"/>
        <charset val="134"/>
      </rPr>
      <t xml:space="preserve">题响应指纹将 </t>
    </r>
    <r>
      <rPr>
        <sz val="9"/>
        <color rgb="FF404040"/>
        <rFont val="DejaVu Sans"/>
        <charset val="1"/>
      </rPr>
      <t xml:space="preserve">802 </t>
    </r>
    <r>
      <rPr>
        <sz val="9"/>
        <color rgb="FF404040"/>
        <rFont val="DejaVu Sans"/>
        <charset val="134"/>
      </rPr>
      <t xml:space="preserve">人匹配回三个源文件重建 </t>
    </r>
    <r>
      <rPr>
        <sz val="9"/>
        <color rgb="FF404040"/>
        <rFont val="DejaVu Sans"/>
        <charset val="1"/>
      </rPr>
      <t>Group</t>
    </r>
    <r>
      <rPr>
        <sz val="9"/>
        <color rgb="FF404040"/>
        <rFont val="DejaVu Sans"/>
        <charset val="134"/>
      </rPr>
      <t xml:space="preserve">，得 </t>
    </r>
    <r>
      <rPr>
        <sz val="9"/>
        <color rgb="FF404040"/>
        <rFont val="DejaVu Sans"/>
        <charset val="1"/>
      </rPr>
      <t>176/108/518</t>
    </r>
    <r>
      <rPr>
        <sz val="9"/>
        <color rgb="FF404040"/>
        <rFont val="DejaVu Sans"/>
        <charset val="134"/>
      </rPr>
      <t>，与原文三方一致。</t>
    </r>
  </si>
  <si>
    <r>
      <rPr>
        <sz val="9"/>
        <color rgb="FF404040"/>
        <rFont val="Times New Roman"/>
        <charset val="1"/>
      </rPr>
      <t>③ Mean/SD</t>
    </r>
    <r>
      <rPr>
        <sz val="9"/>
        <color rgb="FF404040"/>
        <rFont val="DejaVu Sans"/>
        <charset val="134"/>
      </rPr>
      <t xml:space="preserve">：原文（正文 </t>
    </r>
    <r>
      <rPr>
        <sz val="9"/>
        <color rgb="FF404040"/>
        <rFont val="Times New Roman"/>
        <charset val="1"/>
      </rPr>
      <t>Table 1–3</t>
    </r>
    <r>
      <rPr>
        <sz val="9"/>
        <color rgb="FF404040"/>
        <rFont val="DejaVu Sans"/>
        <charset val="134"/>
      </rPr>
      <t>、</t>
    </r>
    <r>
      <rPr>
        <sz val="9"/>
        <color rgb="FF404040"/>
        <rFont val="Times New Roman"/>
        <charset val="1"/>
      </rPr>
      <t>SI</t>
    </r>
    <r>
      <rPr>
        <sz val="9"/>
        <color rgb="FF404040"/>
        <rFont val="DejaVu Sans"/>
        <charset val="134"/>
      </rPr>
      <t>）未报告各题</t>
    </r>
    <r>
      <rPr>
        <sz val="9"/>
        <color rgb="FF404040"/>
        <rFont val="Times New Roman"/>
        <charset val="1"/>
      </rPr>
      <t>/</t>
    </r>
    <r>
      <rPr>
        <sz val="9"/>
        <color rgb="FF404040"/>
        <rFont val="DejaVu Sans"/>
        <charset val="134"/>
      </rPr>
      <t xml:space="preserve">各 </t>
    </r>
    <r>
      <rPr>
        <sz val="9"/>
        <color rgb="FF404040"/>
        <rFont val="Times New Roman"/>
        <charset val="1"/>
      </rPr>
      <t xml:space="preserve">facet </t>
    </r>
    <r>
      <rPr>
        <sz val="9"/>
        <color rgb="FF404040"/>
        <rFont val="DejaVu Sans"/>
        <charset val="134"/>
      </rPr>
      <t xml:space="preserve">的均值与标准差，仅报告 </t>
    </r>
    <r>
      <rPr>
        <sz val="9"/>
        <color rgb="FF404040"/>
        <rFont val="Times New Roman"/>
        <charset val="1"/>
      </rPr>
      <t xml:space="preserve">Rasch </t>
    </r>
    <r>
      <rPr>
        <sz val="9"/>
        <color rgb="FF404040"/>
        <rFont val="DejaVu Sans"/>
        <charset val="134"/>
      </rPr>
      <t>信度（</t>
    </r>
    <r>
      <rPr>
        <sz val="9"/>
        <color rgb="FF404040"/>
        <rFont val="Times New Roman"/>
        <charset val="1"/>
      </rPr>
      <t>Rr</t>
    </r>
    <r>
      <rPr>
        <sz val="9"/>
        <color rgb="FF404040"/>
        <rFont val="DejaVu Sans"/>
        <charset val="134"/>
      </rPr>
      <t>），无对比基准，故记为「无法比较」。</t>
    </r>
  </si>
  <si>
    <r>
      <rPr>
        <sz val="9"/>
        <color rgb="FF404040"/>
        <rFont val="Times New Roman"/>
        <charset val="1"/>
      </rPr>
      <t>④ PE = |</t>
    </r>
    <r>
      <rPr>
        <sz val="9"/>
        <color rgb="FF404040"/>
        <rFont val="DejaVu Sans"/>
        <charset val="134"/>
      </rPr>
      <t>原研究报告值 − 复现值</t>
    </r>
    <r>
      <rPr>
        <sz val="9"/>
        <color rgb="FF404040"/>
        <rFont val="Times New Roman"/>
        <charset val="1"/>
      </rPr>
      <t>| / |</t>
    </r>
    <r>
      <rPr>
        <sz val="9"/>
        <color rgb="FF404040"/>
        <rFont val="DejaVu Sans"/>
        <charset val="134"/>
      </rPr>
      <t>原研究报告值</t>
    </r>
    <r>
      <rPr>
        <sz val="9"/>
        <color rgb="FF404040"/>
        <rFont val="Times New Roman"/>
        <charset val="1"/>
      </rPr>
      <t>| × 100%</t>
    </r>
    <r>
      <rPr>
        <sz val="9"/>
        <color rgb="FF404040"/>
        <rFont val="DejaVu Sans"/>
        <charset val="134"/>
      </rPr>
      <t xml:space="preserve">；四个样本量 </t>
    </r>
    <r>
      <rPr>
        <sz val="9"/>
        <color rgb="FF404040"/>
        <rFont val="Times New Roman"/>
        <charset val="1"/>
      </rPr>
      <t xml:space="preserve">PE </t>
    </r>
    <r>
      <rPr>
        <sz val="9"/>
        <color rgb="FF404040"/>
        <rFont val="DejaVu Sans"/>
        <charset val="134"/>
      </rPr>
      <t xml:space="preserve">均为 </t>
    </r>
    <r>
      <rPr>
        <sz val="9"/>
        <color rgb="FF404040"/>
        <rFont val="Times New Roman"/>
        <charset val="1"/>
      </rPr>
      <t>0%</t>
    </r>
    <r>
      <rPr>
        <sz val="9"/>
        <color rgb="FF404040"/>
        <rFont val="DejaVu Sans"/>
        <charset val="134"/>
      </rPr>
      <t>，达「完全一致」档。</t>
    </r>
  </si>
  <si>
    <r>
      <rPr>
        <b/>
        <sz val="13"/>
        <rFont val="DejaVu Sans"/>
        <charset val="134"/>
      </rPr>
      <t xml:space="preserve">表 </t>
    </r>
    <r>
      <rPr>
        <b/>
        <sz val="13"/>
        <rFont val="DejaVu Sans"/>
        <charset val="1"/>
      </rPr>
      <t xml:space="preserve">5  </t>
    </r>
    <r>
      <rPr>
        <b/>
        <sz val="13"/>
        <rFont val="DejaVu Sans"/>
        <charset val="134"/>
      </rPr>
      <t>推断性统计结果的比较（采用原文献方法）</t>
    </r>
  </si>
  <si>
    <r>
      <rPr>
        <sz val="9"/>
        <color rgb="FF404040"/>
        <rFont val="DejaVu Sans"/>
        <charset val="134"/>
      </rPr>
      <t>原文方法：</t>
    </r>
    <r>
      <rPr>
        <sz val="9"/>
        <color rgb="FF404040"/>
        <rFont val="DejaVu Sans"/>
        <charset val="1"/>
      </rPr>
      <t>MANOVA</t>
    </r>
    <r>
      <rPr>
        <sz val="9"/>
        <color rgb="FF404040"/>
        <rFont val="DejaVu Sans"/>
        <charset val="134"/>
      </rPr>
      <t xml:space="preserve">（三组整体 </t>
    </r>
    <r>
      <rPr>
        <sz val="9"/>
        <color rgb="FF404040"/>
        <rFont val="DejaVu Sans"/>
        <charset val="1"/>
      </rPr>
      <t xml:space="preserve">+ </t>
    </r>
    <r>
      <rPr>
        <sz val="9"/>
        <color rgb="FF404040"/>
        <rFont val="DejaVu Sans"/>
        <charset val="134"/>
      </rPr>
      <t>三组两两）</t>
    </r>
    <r>
      <rPr>
        <sz val="9"/>
        <color rgb="FF404040"/>
        <rFont val="DejaVu Sans"/>
        <charset val="1"/>
      </rPr>
      <t xml:space="preserve">+ Box's M </t>
    </r>
    <r>
      <rPr>
        <sz val="9"/>
        <color rgb="FF404040"/>
        <rFont val="DejaVu Sans"/>
        <charset val="134"/>
      </rPr>
      <t xml:space="preserve">协方差齐性检验。效应与参数列出，行依次为 原文献报告结果 </t>
    </r>
    <r>
      <rPr>
        <sz val="9"/>
        <color rgb="FF404040"/>
        <rFont val="DejaVu Sans"/>
        <charset val="1"/>
      </rPr>
      <t xml:space="preserve">/ </t>
    </r>
    <r>
      <rPr>
        <sz val="9"/>
        <color rgb="FF404040"/>
        <rFont val="DejaVu Sans"/>
        <charset val="134"/>
      </rPr>
      <t>本研究（主版</t>
    </r>
    <r>
      <rPr>
        <sz val="9"/>
        <color rgb="FF404040"/>
        <rFont val="DejaVu Sans"/>
        <charset val="1"/>
      </rPr>
      <t>·10</t>
    </r>
    <r>
      <rPr>
        <sz val="9"/>
        <color rgb="FF404040"/>
        <rFont val="DejaVu Sans"/>
        <charset val="134"/>
      </rPr>
      <t>社区）</t>
    </r>
    <r>
      <rPr>
        <sz val="9"/>
        <color rgb="FF404040"/>
        <rFont val="DejaVu Sans"/>
        <charset val="1"/>
      </rPr>
      <t>/ Claude code</t>
    </r>
    <r>
      <rPr>
        <sz val="9"/>
        <color rgb="FF404040"/>
        <rFont val="DejaVu Sans"/>
        <charset val="134"/>
      </rPr>
      <t>（</t>
    </r>
    <r>
      <rPr>
        <sz val="9"/>
        <color rgb="FF404040"/>
        <rFont val="DejaVu Sans"/>
        <charset val="1"/>
      </rPr>
      <t>8</t>
    </r>
    <r>
      <rPr>
        <sz val="9"/>
        <color rgb="FF404040"/>
        <rFont val="DejaVu Sans"/>
        <charset val="134"/>
      </rPr>
      <t>社区分支）</t>
    </r>
    <r>
      <rPr>
        <sz val="9"/>
        <color rgb="FF404040"/>
        <rFont val="DejaVu Sans"/>
        <charset val="1"/>
      </rPr>
      <t xml:space="preserve">/ δ(PE) / </t>
    </r>
    <r>
      <rPr>
        <sz val="9"/>
        <color rgb="FF404040"/>
        <rFont val="DejaVu Sans"/>
        <charset val="134"/>
      </rPr>
      <t>评级。</t>
    </r>
  </si>
  <si>
    <r>
      <rPr>
        <b/>
        <sz val="10"/>
        <color rgb="FFFFFFFF"/>
        <rFont val="DejaVu Sans"/>
        <charset val="134"/>
      </rPr>
      <t xml:space="preserve">三组整体 </t>
    </r>
    <r>
      <rPr>
        <b/>
        <sz val="10"/>
        <color rgb="FFFFFFFF"/>
        <rFont val="DejaVu Sans"/>
        <charset val="1"/>
      </rPr>
      <t>MANOVA</t>
    </r>
  </si>
  <si>
    <r>
      <rPr>
        <b/>
        <sz val="10"/>
        <color rgb="FFFFFFFF"/>
        <rFont val="Times New Roman"/>
        <charset val="1"/>
      </rPr>
      <t>1 vs 2</t>
    </r>
    <r>
      <rPr>
        <b/>
        <sz val="10"/>
        <color rgb="FFFFFFFF"/>
        <rFont val="DejaVu Sans"/>
        <charset val="134"/>
      </rPr>
      <t>（</t>
    </r>
    <r>
      <rPr>
        <b/>
        <sz val="10"/>
        <color rgb="FFFFFFFF"/>
        <rFont val="Times New Roman"/>
        <charset val="1"/>
      </rPr>
      <t>Fall × Spring</t>
    </r>
    <r>
      <rPr>
        <b/>
        <sz val="10"/>
        <color rgb="FFFFFFFF"/>
        <rFont val="DejaVu Sans"/>
        <charset val="134"/>
      </rPr>
      <t>）</t>
    </r>
  </si>
  <si>
    <r>
      <rPr>
        <b/>
        <sz val="10"/>
        <color rgb="FFFFFFFF"/>
        <rFont val="Times New Roman"/>
        <charset val="1"/>
      </rPr>
      <t>1 vs 3</t>
    </r>
    <r>
      <rPr>
        <b/>
        <sz val="10"/>
        <color rgb="FFFFFFFF"/>
        <rFont val="DejaVu Sans"/>
        <charset val="134"/>
      </rPr>
      <t>（</t>
    </r>
    <r>
      <rPr>
        <b/>
        <sz val="10"/>
        <color rgb="FFFFFFFF"/>
        <rFont val="Times New Roman"/>
        <charset val="1"/>
      </rPr>
      <t>Fall × Mturk</t>
    </r>
    <r>
      <rPr>
        <b/>
        <sz val="10"/>
        <color rgb="FFFFFFFF"/>
        <rFont val="DejaVu Sans"/>
        <charset val="134"/>
      </rPr>
      <t>）</t>
    </r>
  </si>
  <si>
    <r>
      <rPr>
        <b/>
        <sz val="10"/>
        <color rgb="FFFFFFFF"/>
        <rFont val="Times New Roman"/>
        <charset val="1"/>
      </rPr>
      <t>2 vs 3</t>
    </r>
    <r>
      <rPr>
        <b/>
        <sz val="10"/>
        <color rgb="FFFFFFFF"/>
        <rFont val="DejaVu Sans"/>
        <charset val="134"/>
      </rPr>
      <t>（</t>
    </r>
    <r>
      <rPr>
        <b/>
        <sz val="10"/>
        <color rgb="FFFFFFFF"/>
        <rFont val="Times New Roman"/>
        <charset val="1"/>
      </rPr>
      <t>Spring × Mturk</t>
    </r>
    <r>
      <rPr>
        <b/>
        <sz val="10"/>
        <color rgb="FFFFFFFF"/>
        <rFont val="DejaVu Sans"/>
        <charset val="134"/>
      </rPr>
      <t>）</t>
    </r>
  </si>
  <si>
    <r>
      <rPr>
        <b/>
        <sz val="10"/>
        <color rgb="FFFFFFFF"/>
        <rFont val="Times New Roman"/>
        <charset val="1"/>
      </rPr>
      <t>Box's M</t>
    </r>
    <r>
      <rPr>
        <b/>
        <sz val="10"/>
        <color rgb="FFFFFFFF"/>
        <rFont val="DejaVu Sans"/>
        <charset val="134"/>
      </rPr>
      <t>（</t>
    </r>
    <r>
      <rPr>
        <b/>
        <sz val="10"/>
        <color rgb="FFFFFFFF"/>
        <rFont val="Times New Roman"/>
        <charset val="1"/>
      </rPr>
      <t>1 vs 3</t>
    </r>
    <r>
      <rPr>
        <b/>
        <sz val="10"/>
        <color rgb="FFFFFFFF"/>
        <rFont val="DejaVu Sans"/>
        <charset val="134"/>
      </rPr>
      <t>）</t>
    </r>
  </si>
  <si>
    <r>
      <rPr>
        <b/>
        <sz val="9"/>
        <color rgb="FFFFFFFF"/>
        <rFont val="DejaVu Sans"/>
        <charset val="134"/>
      </rPr>
      <t xml:space="preserve">样本量 </t>
    </r>
    <r>
      <rPr>
        <b/>
        <sz val="9"/>
        <color rgb="FFFFFFFF"/>
        <rFont val="DejaVu Sans"/>
        <charset val="1"/>
      </rPr>
      <t>N</t>
    </r>
  </si>
  <si>
    <r>
      <rPr>
        <b/>
        <sz val="9"/>
        <color rgb="FFFFFFFF"/>
        <rFont val="DejaVu Sans"/>
        <charset val="134"/>
      </rPr>
      <t xml:space="preserve">统计量 </t>
    </r>
    <r>
      <rPr>
        <b/>
        <sz val="9"/>
        <color rgb="FFFFFFFF"/>
        <rFont val="DejaVu Sans"/>
        <charset val="1"/>
      </rPr>
      <t>F</t>
    </r>
  </si>
  <si>
    <r>
      <rPr>
        <b/>
        <sz val="9"/>
        <color rgb="FFFFFFFF"/>
        <rFont val="DejaVu Sans"/>
        <charset val="134"/>
      </rPr>
      <t xml:space="preserve">效应量 </t>
    </r>
    <r>
      <rPr>
        <b/>
        <sz val="9"/>
        <color rgb="FFFFFFFF"/>
        <rFont val="DejaVu Sans"/>
        <charset val="1"/>
      </rPr>
      <t>Pillai</t>
    </r>
  </si>
  <si>
    <r>
      <rPr>
        <b/>
        <sz val="9"/>
        <color rgb="FFFFFFFF"/>
        <rFont val="DejaVu Sans"/>
        <charset val="134"/>
      </rPr>
      <t xml:space="preserve">显著性 </t>
    </r>
    <r>
      <rPr>
        <b/>
        <sz val="9"/>
        <color rgb="FFFFFFFF"/>
        <rFont val="DejaVu Sans"/>
        <charset val="1"/>
      </rPr>
      <t>p</t>
    </r>
  </si>
  <si>
    <t>统计量</t>
  </si>
  <si>
    <t>效应量</t>
  </si>
  <si>
    <t>原文献报告结果</t>
  </si>
  <si>
    <t>&lt;.001</t>
  </si>
  <si>
    <r>
      <rPr>
        <b/>
        <sz val="10"/>
        <rFont val="DejaVu Sans"/>
        <charset val="134"/>
      </rPr>
      <t>本研究（主版</t>
    </r>
    <r>
      <rPr>
        <b/>
        <sz val="10"/>
        <rFont val="DejaVu Sans"/>
        <charset val="1"/>
      </rPr>
      <t>·10</t>
    </r>
    <r>
      <rPr>
        <b/>
        <sz val="10"/>
        <rFont val="DejaVu Sans"/>
        <charset val="134"/>
      </rPr>
      <t>社区）</t>
    </r>
  </si>
  <si>
    <t>χ²=12891
(→F=1.292)</t>
  </si>
  <si>
    <r>
      <rPr>
        <b/>
        <sz val="10"/>
        <rFont val="Times New Roman"/>
        <charset val="1"/>
      </rPr>
      <t>Claude code</t>
    </r>
    <r>
      <rPr>
        <b/>
        <sz val="10"/>
        <rFont val="DejaVu Sans"/>
        <charset val="134"/>
      </rPr>
      <t>（</t>
    </r>
    <r>
      <rPr>
        <b/>
        <sz val="10"/>
        <rFont val="Times New Roman"/>
        <charset val="1"/>
      </rPr>
      <t>8</t>
    </r>
    <r>
      <rPr>
        <b/>
        <sz val="10"/>
        <rFont val="DejaVu Sans"/>
        <charset val="134"/>
      </rPr>
      <t>社区分支）</t>
    </r>
  </si>
  <si>
    <t>δ (PE)</t>
  </si>
  <si>
    <t>—¹</t>
  </si>
  <si>
    <t>—²</t>
  </si>
  <si>
    <t>0%³</t>
  </si>
  <si>
    <t>评级</t>
  </si>
  <si>
    <r>
      <rPr>
        <sz val="10"/>
        <rFont val="DejaVu Sans"/>
        <charset val="134"/>
      </rPr>
      <t xml:space="preserve">完全一致（按原文精度 </t>
    </r>
    <r>
      <rPr>
        <sz val="10"/>
        <rFont val="DejaVu Sans"/>
        <charset val="1"/>
      </rPr>
      <t>δ=0%</t>
    </r>
    <r>
      <rPr>
        <sz val="10"/>
        <rFont val="DejaVu Sans"/>
        <charset val="134"/>
      </rPr>
      <t>）</t>
    </r>
  </si>
  <si>
    <r>
      <rPr>
        <sz val="10"/>
        <rFont val="DejaVu Sans"/>
        <charset val="134"/>
      </rPr>
      <t>完全一致（</t>
    </r>
    <r>
      <rPr>
        <sz val="10"/>
        <rFont val="DejaVu Sans"/>
        <charset val="1"/>
      </rPr>
      <t>χ²→</t>
    </r>
    <r>
      <rPr>
        <sz val="10"/>
        <rFont val="DejaVu Sans"/>
        <charset val="134"/>
      </rPr>
      <t>标准</t>
    </r>
    <r>
      <rPr>
        <sz val="10"/>
        <rFont val="DejaVu Sans"/>
        <charset val="1"/>
      </rPr>
      <t>F=1.292</t>
    </r>
    <r>
      <rPr>
        <sz val="10"/>
        <rFont val="DejaVu Sans"/>
        <charset val="134"/>
      </rPr>
      <t>，</t>
    </r>
    <r>
      <rPr>
        <sz val="10"/>
        <rFont val="DejaVu Sans"/>
        <charset val="1"/>
      </rPr>
      <t>δ=0%</t>
    </r>
    <r>
      <rPr>
        <sz val="10"/>
        <rFont val="DejaVu Sans"/>
        <charset val="134"/>
      </rPr>
      <t>）</t>
    </r>
  </si>
  <si>
    <t>注释：</t>
  </si>
  <si>
    <r>
      <rPr>
        <sz val="9"/>
        <color rgb="FF404040"/>
        <rFont val="DejaVu Sans"/>
        <charset val="134"/>
      </rPr>
      <t xml:space="preserve">¹ 样本量 </t>
    </r>
    <r>
      <rPr>
        <sz val="9"/>
        <color rgb="FF404040"/>
        <rFont val="DejaVu Sans"/>
        <charset val="1"/>
      </rPr>
      <t xml:space="preserve">N </t>
    </r>
    <r>
      <rPr>
        <sz val="9"/>
        <color rgb="FF404040"/>
        <rFont val="DejaVu Sans"/>
        <charset val="134"/>
      </rPr>
      <t>属描述统计（见表</t>
    </r>
    <r>
      <rPr>
        <sz val="9"/>
        <color rgb="FF404040"/>
        <rFont val="DejaVu Sans"/>
        <charset val="1"/>
      </rPr>
      <t>2</t>
    </r>
    <r>
      <rPr>
        <sz val="9"/>
        <color rgb="FF404040"/>
        <rFont val="DejaVu Sans"/>
        <charset val="134"/>
      </rPr>
      <t xml:space="preserve">），按指南不计 </t>
    </r>
    <r>
      <rPr>
        <sz val="9"/>
        <color rgb="FF404040"/>
        <rFont val="DejaVu Sans"/>
        <charset val="1"/>
      </rPr>
      <t>PE</t>
    </r>
    <r>
      <rPr>
        <sz val="9"/>
        <color rgb="FF404040"/>
        <rFont val="DejaVu Sans"/>
        <charset val="134"/>
      </rPr>
      <t xml:space="preserve">。各两两比较 </t>
    </r>
    <r>
      <rPr>
        <sz val="9"/>
        <color rgb="FF404040"/>
        <rFont val="DejaVu Sans"/>
        <charset val="1"/>
      </rPr>
      <t>N=</t>
    </r>
    <r>
      <rPr>
        <sz val="9"/>
        <color rgb="FF404040"/>
        <rFont val="DejaVu Sans"/>
        <charset val="134"/>
      </rPr>
      <t>两组之和（</t>
    </r>
    <r>
      <rPr>
        <sz val="9"/>
        <color rgb="FF404040"/>
        <rFont val="DejaVu Sans"/>
        <charset val="1"/>
      </rPr>
      <t>1v2=284, 1v3=694, 2v3=626</t>
    </r>
    <r>
      <rPr>
        <sz val="9"/>
        <color rgb="FF404040"/>
        <rFont val="DejaVu Sans"/>
        <charset val="134"/>
      </rPr>
      <t>），整体</t>
    </r>
    <r>
      <rPr>
        <sz val="9"/>
        <color rgb="FF404040"/>
        <rFont val="DejaVu Sans"/>
        <charset val="1"/>
      </rPr>
      <t>=802</t>
    </r>
    <r>
      <rPr>
        <sz val="9"/>
        <color rgb="FF404040"/>
        <rFont val="DejaVu Sans"/>
        <charset val="134"/>
      </rPr>
      <t>。</t>
    </r>
  </si>
  <si>
    <r>
      <rPr>
        <sz val="9"/>
        <color rgb="FF404040"/>
        <rFont val="Times New Roman"/>
        <charset val="1"/>
      </rPr>
      <t xml:space="preserve">² p </t>
    </r>
    <r>
      <rPr>
        <sz val="9"/>
        <color rgb="FF404040"/>
        <rFont val="DejaVu Sans"/>
        <charset val="134"/>
      </rPr>
      <t xml:space="preserve">值属推论，一致性见「评级」行：原文与复现均 </t>
    </r>
    <r>
      <rPr>
        <sz val="9"/>
        <color rgb="FF404040"/>
        <rFont val="Times New Roman"/>
        <charset val="1"/>
      </rPr>
      <t>p&lt;.001</t>
    </r>
    <r>
      <rPr>
        <sz val="9"/>
        <color rgb="FF404040"/>
        <rFont val="DejaVu Sans"/>
        <charset val="134"/>
      </rPr>
      <t xml:space="preserve">、落在 </t>
    </r>
    <r>
      <rPr>
        <sz val="9"/>
        <color rgb="FF404040"/>
        <rFont val="Times New Roman"/>
        <charset val="1"/>
      </rPr>
      <t xml:space="preserve">α=.05 </t>
    </r>
    <r>
      <rPr>
        <sz val="9"/>
        <color rgb="FF404040"/>
        <rFont val="DejaVu Sans"/>
        <charset val="134"/>
      </rPr>
      <t>同侧 → 推论一致（</t>
    </r>
    <r>
      <rPr>
        <sz val="9"/>
        <color rgb="FF404040"/>
        <rFont val="Times New Roman"/>
        <charset val="1"/>
      </rPr>
      <t xml:space="preserve">1v2 </t>
    </r>
    <r>
      <rPr>
        <sz val="9"/>
        <color rgb="FF404040"/>
        <rFont val="DejaVu Sans"/>
        <charset val="134"/>
      </rPr>
      <t xml:space="preserve">复现 </t>
    </r>
    <r>
      <rPr>
        <sz val="9"/>
        <color rgb="FF404040"/>
        <rFont val="Times New Roman"/>
        <charset val="1"/>
      </rPr>
      <t>p=3.998e-05</t>
    </r>
    <r>
      <rPr>
        <sz val="9"/>
        <color rgb="FF404040"/>
        <rFont val="DejaVu Sans"/>
        <charset val="134"/>
      </rPr>
      <t xml:space="preserve">，亦 </t>
    </r>
    <r>
      <rPr>
        <sz val="9"/>
        <color rgb="FF404040"/>
        <rFont val="Times New Roman"/>
        <charset val="1"/>
      </rPr>
      <t>&lt;.001</t>
    </r>
    <r>
      <rPr>
        <sz val="9"/>
        <color rgb="FF404040"/>
        <rFont val="DejaVu Sans"/>
        <charset val="134"/>
      </rPr>
      <t>）。</t>
    </r>
  </si>
  <si>
    <r>
      <rPr>
        <sz val="9"/>
        <color rgb="FF404040"/>
        <rFont val="Times New Roman"/>
        <charset val="1"/>
      </rPr>
      <t>³ Box's M</t>
    </r>
    <r>
      <rPr>
        <sz val="9"/>
        <color rgb="FF404040"/>
        <rFont val="DejaVu Sans"/>
        <charset val="134"/>
      </rPr>
      <t>：</t>
    </r>
    <r>
      <rPr>
        <sz val="9"/>
        <color rgb="FF404040"/>
        <rFont val="Times New Roman"/>
        <charset val="1"/>
      </rPr>
      <t xml:space="preserve">R </t>
    </r>
    <r>
      <rPr>
        <sz val="9"/>
        <color rgb="FF404040"/>
        <rFont val="DejaVu Sans"/>
        <charset val="134"/>
      </rPr>
      <t xml:space="preserve">的 </t>
    </r>
    <r>
      <rPr>
        <sz val="9"/>
        <color rgb="FF404040"/>
        <rFont val="Times New Roman"/>
        <charset val="1"/>
      </rPr>
      <t xml:space="preserve">biotools::boxM </t>
    </r>
    <r>
      <rPr>
        <sz val="9"/>
        <color rgb="FF404040"/>
        <rFont val="DejaVu Sans"/>
        <charset val="134"/>
      </rPr>
      <t>默认报卡方近似（</t>
    </r>
    <r>
      <rPr>
        <sz val="9"/>
        <color rgb="FF404040"/>
        <rFont val="Times New Roman"/>
        <charset val="1"/>
      </rPr>
      <t>χ²=12891, df=9591</t>
    </r>
    <r>
      <rPr>
        <sz val="9"/>
        <color rgb="FF404040"/>
        <rFont val="DejaVu Sans"/>
        <charset val="134"/>
      </rPr>
      <t xml:space="preserve">），原文 </t>
    </r>
    <r>
      <rPr>
        <sz val="9"/>
        <color rgb="FF404040"/>
        <rFont val="Times New Roman"/>
        <charset val="1"/>
      </rPr>
      <t xml:space="preserve">SI 7 </t>
    </r>
    <r>
      <rPr>
        <sz val="9"/>
        <color rgb="FF404040"/>
        <rFont val="DejaVu Sans"/>
        <charset val="134"/>
      </rPr>
      <t xml:space="preserve">报 </t>
    </r>
    <r>
      <rPr>
        <sz val="9"/>
        <color rgb="FF404040"/>
        <rFont val="Times New Roman"/>
        <charset val="1"/>
      </rPr>
      <t xml:space="preserve">F </t>
    </r>
    <r>
      <rPr>
        <sz val="9"/>
        <color rgb="FF404040"/>
        <rFont val="DejaVu Sans"/>
        <charset val="134"/>
      </rPr>
      <t>近似（</t>
    </r>
    <r>
      <rPr>
        <sz val="9"/>
        <color rgb="FF404040"/>
        <rFont val="Times New Roman"/>
        <charset val="1"/>
      </rPr>
      <t>1.292</t>
    </r>
    <r>
      <rPr>
        <sz val="9"/>
        <color rgb="FF404040"/>
        <rFont val="DejaVu Sans"/>
        <charset val="134"/>
      </rPr>
      <t xml:space="preserve">）。二者来自同一原始统计量 </t>
    </r>
    <r>
      <rPr>
        <sz val="9"/>
        <color rgb="FF404040"/>
        <rFont val="Times New Roman"/>
        <charset val="1"/>
      </rPr>
      <t>M</t>
    </r>
    <r>
      <rPr>
        <sz val="9"/>
        <color rgb="FF404040"/>
        <rFont val="DejaVu Sans"/>
        <charset val="134"/>
      </rPr>
      <t xml:space="preserve">：由 </t>
    </r>
    <r>
      <rPr>
        <sz val="9"/>
        <color rgb="FF404040"/>
        <rFont val="Times New Roman"/>
        <charset val="1"/>
      </rPr>
      <t xml:space="preserve">χ²=(1−c₁)M </t>
    </r>
    <r>
      <rPr>
        <sz val="9"/>
        <color rgb="FF404040"/>
        <rFont val="DejaVu Sans"/>
        <charset val="134"/>
      </rPr>
      <t xml:space="preserve">反推 </t>
    </r>
    <r>
      <rPr>
        <sz val="9"/>
        <color rgb="FF404040"/>
        <rFont val="Times New Roman"/>
        <charset val="1"/>
      </rPr>
      <t>M=18064</t>
    </r>
    <r>
      <rPr>
        <sz val="9"/>
        <color rgb="FF404040"/>
        <rFont val="DejaVu Sans"/>
        <charset val="134"/>
      </rPr>
      <t xml:space="preserve">，代入 </t>
    </r>
    <r>
      <rPr>
        <sz val="9"/>
        <color rgb="FF404040"/>
        <rFont val="Times New Roman"/>
        <charset val="1"/>
      </rPr>
      <t xml:space="preserve">Box </t>
    </r>
    <r>
      <rPr>
        <sz val="9"/>
        <color rgb="FF404040"/>
        <rFont val="DejaVu Sans"/>
        <charset val="134"/>
      </rPr>
      <t xml:space="preserve">标准 </t>
    </r>
    <r>
      <rPr>
        <sz val="9"/>
        <color rgb="FF404040"/>
        <rFont val="Times New Roman"/>
        <charset val="1"/>
      </rPr>
      <t xml:space="preserve">F </t>
    </r>
    <r>
      <rPr>
        <sz val="9"/>
        <color rgb="FF404040"/>
        <rFont val="DejaVu Sans"/>
        <charset val="134"/>
      </rPr>
      <t xml:space="preserve">近似公式得 </t>
    </r>
    <r>
      <rPr>
        <sz val="9"/>
        <color rgb="FF404040"/>
        <rFont val="Times New Roman"/>
        <charset val="1"/>
      </rPr>
      <t>F=1.292</t>
    </r>
    <r>
      <rPr>
        <sz val="9"/>
        <color rgb="FF404040"/>
        <rFont val="DejaVu Sans"/>
        <charset val="134"/>
      </rPr>
      <t>，与原文逐位一致（</t>
    </r>
    <r>
      <rPr>
        <sz val="9"/>
        <color rgb="FF404040"/>
        <rFont val="Times New Roman"/>
        <charset val="1"/>
      </rPr>
      <t>PE=0%</t>
    </r>
    <r>
      <rPr>
        <sz val="9"/>
        <color rgb="FF404040"/>
        <rFont val="DejaVu Sans"/>
        <charset val="134"/>
      </rPr>
      <t>）→ 完全一致。样本</t>
    </r>
    <r>
      <rPr>
        <sz val="9"/>
        <color rgb="FF404040"/>
        <rFont val="Times New Roman"/>
        <charset val="1"/>
      </rPr>
      <t>2</t>
    </r>
    <r>
      <rPr>
        <sz val="9"/>
        <color rgb="FF404040"/>
        <rFont val="DejaVu Sans"/>
        <charset val="134"/>
      </rPr>
      <t>（</t>
    </r>
    <r>
      <rPr>
        <sz val="9"/>
        <color rgb="FF404040"/>
        <rFont val="Times New Roman"/>
        <charset val="1"/>
      </rPr>
      <t>n=108&lt;138</t>
    </r>
    <r>
      <rPr>
        <sz val="9"/>
        <color rgb="FF404040"/>
        <rFont val="DejaVu Sans"/>
        <charset val="134"/>
      </rPr>
      <t>）协方差奇异，含样本</t>
    </r>
    <r>
      <rPr>
        <sz val="9"/>
        <color rgb="FF404040"/>
        <rFont val="Times New Roman"/>
        <charset val="1"/>
      </rPr>
      <t xml:space="preserve">2 </t>
    </r>
    <r>
      <rPr>
        <sz val="9"/>
        <color rgb="FF404040"/>
        <rFont val="DejaVu Sans"/>
        <charset val="134"/>
      </rPr>
      <t xml:space="preserve">的 </t>
    </r>
    <r>
      <rPr>
        <sz val="9"/>
        <color rgb="FF404040"/>
        <rFont val="Times New Roman"/>
        <charset val="1"/>
      </rPr>
      <t xml:space="preserve">Box's M </t>
    </r>
    <r>
      <rPr>
        <sz val="9"/>
        <color rgb="FF404040"/>
        <rFont val="DejaVu Sans"/>
        <charset val="134"/>
      </rPr>
      <t xml:space="preserve">无法计算，故只检验 </t>
    </r>
    <r>
      <rPr>
        <sz val="9"/>
        <color rgb="FF404040"/>
        <rFont val="Times New Roman"/>
        <charset val="1"/>
      </rPr>
      <t>1 vs 3</t>
    </r>
    <r>
      <rPr>
        <sz val="9"/>
        <color rgb="FF404040"/>
        <rFont val="DejaVu Sans"/>
        <charset val="134"/>
      </rPr>
      <t>；</t>
    </r>
    <r>
      <rPr>
        <sz val="9"/>
        <color rgb="FF404040"/>
        <rFont val="Times New Roman"/>
        <charset val="1"/>
      </rPr>
      <t xml:space="preserve">p&lt;.001 </t>
    </r>
    <r>
      <rPr>
        <sz val="9"/>
        <color rgb="FF404040"/>
        <rFont val="DejaVu Sans"/>
        <charset val="134"/>
      </rPr>
      <t>推论一致。</t>
    </r>
  </si>
  <si>
    <r>
      <rPr>
        <sz val="9"/>
        <color rgb="FF404040"/>
        <rFont val="DejaVu Sans"/>
        <charset val="134"/>
      </rPr>
      <t xml:space="preserve">④ 数据来源：原文 </t>
    </r>
    <r>
      <rPr>
        <sz val="9"/>
        <color rgb="FF404040"/>
        <rFont val="DejaVu Sans"/>
        <charset val="1"/>
      </rPr>
      <t>SI 7</t>
    </r>
    <r>
      <rPr>
        <sz val="9"/>
        <color rgb="FF404040"/>
        <rFont val="DejaVu Sans"/>
        <charset val="134"/>
      </rPr>
      <t>。本研究</t>
    </r>
    <r>
      <rPr>
        <sz val="9"/>
        <color rgb="FF404040"/>
        <rFont val="DejaVu Sans"/>
        <charset val="1"/>
      </rPr>
      <t xml:space="preserve">=RStudio </t>
    </r>
    <r>
      <rPr>
        <sz val="9"/>
        <color rgb="FF404040"/>
        <rFont val="DejaVu Sans"/>
        <charset val="134"/>
      </rPr>
      <t>主版复现（</t>
    </r>
    <r>
      <rPr>
        <sz val="9"/>
        <color rgb="FF404040"/>
        <rFont val="DejaVu Sans"/>
        <charset val="1"/>
      </rPr>
      <t xml:space="preserve">cut_at </t>
    </r>
    <r>
      <rPr>
        <sz val="9"/>
        <color rgb="FF404040"/>
        <rFont val="DejaVu Sans"/>
        <charset val="134"/>
      </rPr>
      <t xml:space="preserve">强切 </t>
    </r>
    <r>
      <rPr>
        <sz val="9"/>
        <color rgb="FF404040"/>
        <rFont val="DejaVu Sans"/>
        <charset val="1"/>
      </rPr>
      <t xml:space="preserve">10 </t>
    </r>
    <r>
      <rPr>
        <sz val="9"/>
        <color rgb="FF404040"/>
        <rFont val="DejaVu Sans"/>
        <charset val="134"/>
      </rPr>
      <t>社区）；</t>
    </r>
    <r>
      <rPr>
        <sz val="9"/>
        <color rgb="FF404040"/>
        <rFont val="DejaVu Sans"/>
        <charset val="1"/>
      </rPr>
      <t xml:space="preserve">Claude code=8 </t>
    </r>
    <r>
      <rPr>
        <sz val="9"/>
        <color rgb="FF404040"/>
        <rFont val="DejaVu Sans"/>
        <charset val="134"/>
      </rPr>
      <t xml:space="preserve">社区原生分支复现。两者 </t>
    </r>
    <r>
      <rPr>
        <sz val="9"/>
        <color rgb="FF404040"/>
        <rFont val="DejaVu Sans"/>
        <charset val="1"/>
      </rPr>
      <t xml:space="preserve">MANOVA/Box's M </t>
    </r>
    <r>
      <rPr>
        <sz val="9"/>
        <color rgb="FF404040"/>
        <rFont val="DejaVu Sans"/>
        <charset val="134"/>
      </rPr>
      <t xml:space="preserve">因变量均为固定 </t>
    </r>
    <r>
      <rPr>
        <sz val="9"/>
        <color rgb="FF404040"/>
        <rFont val="DejaVu Sans"/>
        <charset val="1"/>
      </rPr>
      <t xml:space="preserve">138 </t>
    </r>
    <r>
      <rPr>
        <sz val="9"/>
        <color rgb="FF404040"/>
        <rFont val="DejaVu Sans"/>
        <charset val="134"/>
      </rPr>
      <t>题、与社区数无关，故数值逐字一致（互为独立复现交叉验证）。</t>
    </r>
  </si>
  <si>
    <r>
      <rPr>
        <sz val="9"/>
        <color rgb="FF404040"/>
        <rFont val="Times New Roman"/>
        <charset val="1"/>
      </rPr>
      <t xml:space="preserve">⑤ F </t>
    </r>
    <r>
      <rPr>
        <sz val="9"/>
        <color rgb="FF404040"/>
        <rFont val="DejaVu Sans"/>
        <charset val="134"/>
      </rPr>
      <t>的自由度标注口径不同：原文按 组</t>
    </r>
    <r>
      <rPr>
        <sz val="9"/>
        <color rgb="FF404040"/>
        <rFont val="Times New Roman"/>
        <charset val="1"/>
      </rPr>
      <t>/</t>
    </r>
    <r>
      <rPr>
        <sz val="9"/>
        <color rgb="FF404040"/>
        <rFont val="DejaVu Sans"/>
        <charset val="134"/>
      </rPr>
      <t xml:space="preserve">残差 </t>
    </r>
    <r>
      <rPr>
        <sz val="9"/>
        <color rgb="FF404040"/>
        <rFont val="Times New Roman"/>
        <charset val="1"/>
      </rPr>
      <t>df</t>
    </r>
    <r>
      <rPr>
        <sz val="9"/>
        <color rgb="FF404040"/>
        <rFont val="DejaVu Sans"/>
        <charset val="134"/>
      </rPr>
      <t xml:space="preserve">（整体 </t>
    </r>
    <r>
      <rPr>
        <sz val="9"/>
        <color rgb="FF404040"/>
        <rFont val="Times New Roman"/>
        <charset val="1"/>
      </rPr>
      <t>(2,799)</t>
    </r>
    <r>
      <rPr>
        <sz val="9"/>
        <color rgb="FF404040"/>
        <rFont val="DejaVu Sans"/>
        <charset val="134"/>
      </rPr>
      <t xml:space="preserve">；两两 </t>
    </r>
    <r>
      <rPr>
        <sz val="9"/>
        <color rgb="FF404040"/>
        <rFont val="Times New Roman"/>
        <charset val="1"/>
      </rPr>
      <t>(1,282)/(1,692)/(1,624)</t>
    </r>
    <r>
      <rPr>
        <sz val="9"/>
        <color rgb="FF404040"/>
        <rFont val="DejaVu Sans"/>
        <charset val="134"/>
      </rPr>
      <t xml:space="preserve">）；本研究 </t>
    </r>
    <r>
      <rPr>
        <sz val="9"/>
        <color rgb="FF404040"/>
        <rFont val="Times New Roman"/>
        <charset val="1"/>
      </rPr>
      <t xml:space="preserve">R </t>
    </r>
    <r>
      <rPr>
        <sz val="9"/>
        <color rgb="FF404040"/>
        <rFont val="DejaVu Sans"/>
        <charset val="134"/>
      </rPr>
      <t xml:space="preserve">输出按多元近似 </t>
    </r>
    <r>
      <rPr>
        <sz val="9"/>
        <color rgb="FF404040"/>
        <rFont val="Times New Roman"/>
        <charset val="1"/>
      </rPr>
      <t xml:space="preserve">F </t>
    </r>
    <r>
      <rPr>
        <sz val="9"/>
        <color rgb="FF404040"/>
        <rFont val="DejaVu Sans"/>
        <charset val="134"/>
      </rPr>
      <t xml:space="preserve">的 </t>
    </r>
    <r>
      <rPr>
        <sz val="9"/>
        <color rgb="FF404040"/>
        <rFont val="Times New Roman"/>
        <charset val="1"/>
      </rPr>
      <t>num/den df</t>
    </r>
    <r>
      <rPr>
        <sz val="9"/>
        <color rgb="FF404040"/>
        <rFont val="DejaVu Sans"/>
        <charset val="134"/>
      </rPr>
      <t xml:space="preserve">（整体 </t>
    </r>
    <r>
      <rPr>
        <sz val="9"/>
        <color rgb="FF404040"/>
        <rFont val="Times New Roman"/>
        <charset val="1"/>
      </rPr>
      <t>(276,1326)</t>
    </r>
    <r>
      <rPr>
        <sz val="9"/>
        <color rgb="FF404040"/>
        <rFont val="DejaVu Sans"/>
        <charset val="134"/>
      </rPr>
      <t xml:space="preserve">；两两 </t>
    </r>
    <r>
      <rPr>
        <sz val="9"/>
        <color rgb="FF404040"/>
        <rFont val="Times New Roman"/>
        <charset val="1"/>
      </rPr>
      <t>(138,145)/(138,555)/(138,487)</t>
    </r>
    <r>
      <rPr>
        <sz val="9"/>
        <color rgb="FF404040"/>
        <rFont val="DejaVu Sans"/>
        <charset val="134"/>
      </rPr>
      <t>）。</t>
    </r>
    <r>
      <rPr>
        <sz val="9"/>
        <color rgb="FF404040"/>
        <rFont val="Times New Roman"/>
        <charset val="1"/>
      </rPr>
      <t xml:space="preserve">F </t>
    </r>
    <r>
      <rPr>
        <sz val="9"/>
        <color rgb="FF404040"/>
        <rFont val="DejaVu Sans"/>
        <charset val="134"/>
      </rPr>
      <t>值一致，仅标注方式不同。</t>
    </r>
  </si>
  <si>
    <r>
      <rPr>
        <sz val="9"/>
        <color rgb="FF404040"/>
        <rFont val="DejaVu Sans"/>
        <charset val="134"/>
      </rPr>
      <t>⑥ 效应量：</t>
    </r>
    <r>
      <rPr>
        <sz val="9"/>
        <color rgb="FF404040"/>
        <rFont val="DejaVu Sans"/>
        <charset val="1"/>
      </rPr>
      <t xml:space="preserve">MANOVA </t>
    </r>
    <r>
      <rPr>
        <sz val="9"/>
        <color rgb="FF404040"/>
        <rFont val="DejaVu Sans"/>
        <charset val="134"/>
      </rPr>
      <t xml:space="preserve">的 </t>
    </r>
    <r>
      <rPr>
        <sz val="9"/>
        <color rgb="FF404040"/>
        <rFont val="DejaVu Sans"/>
        <charset val="1"/>
      </rPr>
      <t>Pillai's trace</t>
    </r>
    <r>
      <rPr>
        <sz val="9"/>
        <color rgb="FF404040"/>
        <rFont val="DejaVu Sans"/>
        <charset val="134"/>
      </rPr>
      <t>（</t>
    </r>
    <r>
      <rPr>
        <sz val="9"/>
        <color rgb="FF404040"/>
        <rFont val="DejaVu Sans"/>
        <charset val="1"/>
      </rPr>
      <t>0–1</t>
    </r>
    <r>
      <rPr>
        <sz val="9"/>
        <color rgb="FF404040"/>
        <rFont val="DejaVu Sans"/>
        <charset val="134"/>
      </rPr>
      <t xml:space="preserve">）本身即多元效应量；原文未另报 </t>
    </r>
    <r>
      <rPr>
        <sz val="9"/>
        <color rgb="FF404040"/>
        <rFont val="DejaVu Sans"/>
        <charset val="1"/>
      </rPr>
      <t>partial η²</t>
    </r>
    <r>
      <rPr>
        <sz val="9"/>
        <color rgb="FF404040"/>
        <rFont val="DejaVu Sans"/>
        <charset val="134"/>
      </rPr>
      <t xml:space="preserve">，故效应量列填 </t>
    </r>
    <r>
      <rPr>
        <sz val="9"/>
        <color rgb="FF404040"/>
        <rFont val="DejaVu Sans"/>
        <charset val="1"/>
      </rPr>
      <t>Pillai</t>
    </r>
    <r>
      <rPr>
        <sz val="9"/>
        <color rgb="FF404040"/>
        <rFont val="DejaVu Sans"/>
        <charset val="134"/>
      </rPr>
      <t>。</t>
    </r>
  </si>
  <si>
    <r>
      <rPr>
        <sz val="9"/>
        <color rgb="FF404040"/>
        <rFont val="Times New Roman"/>
        <charset val="1"/>
      </rPr>
      <t>⑦ δ(PE)=|</t>
    </r>
    <r>
      <rPr>
        <sz val="9"/>
        <color rgb="FF404040"/>
        <rFont val="DejaVu Sans"/>
        <charset val="134"/>
      </rPr>
      <t>原文报告值 − 复现值</t>
    </r>
    <r>
      <rPr>
        <sz val="9"/>
        <color rgb="FF404040"/>
        <rFont val="Times New Roman"/>
        <charset val="1"/>
      </rPr>
      <t>| / |</t>
    </r>
    <r>
      <rPr>
        <sz val="9"/>
        <color rgb="FF404040"/>
        <rFont val="DejaVu Sans"/>
        <charset val="134"/>
      </rPr>
      <t>原文报告值</t>
    </r>
    <r>
      <rPr>
        <sz val="9"/>
        <color rgb="FF404040"/>
        <rFont val="Times New Roman"/>
        <charset val="1"/>
      </rPr>
      <t>| × 100%</t>
    </r>
    <r>
      <rPr>
        <sz val="9"/>
        <color rgb="FF404040"/>
        <rFont val="DejaVu Sans"/>
        <charset val="134"/>
      </rPr>
      <t>。</t>
    </r>
    <r>
      <rPr>
        <sz val="9"/>
        <color rgb="FF404040"/>
        <rFont val="Times New Roman"/>
        <charset val="1"/>
      </rPr>
      <t xml:space="preserve">δ </t>
    </r>
    <r>
      <rPr>
        <sz val="9"/>
        <color rgb="FF404040"/>
        <rFont val="DejaVu Sans"/>
        <charset val="134"/>
      </rPr>
      <t xml:space="preserve">行所示为全精度残差；按原文报告精度四舍五入后各值逐一相等（如 </t>
    </r>
    <r>
      <rPr>
        <sz val="9"/>
        <color rgb="FF404040"/>
        <rFont val="Times New Roman"/>
        <charset val="1"/>
      </rPr>
      <t>4.4308→4.43</t>
    </r>
    <r>
      <rPr>
        <sz val="9"/>
        <color rgb="FF404040"/>
        <rFont val="DejaVu Sans"/>
        <charset val="134"/>
      </rPr>
      <t>、</t>
    </r>
    <r>
      <rPr>
        <sz val="9"/>
        <color rgb="FF404040"/>
        <rFont val="Times New Roman"/>
        <charset val="1"/>
      </rPr>
      <t>.9596→.960</t>
    </r>
    <r>
      <rPr>
        <sz val="9"/>
        <color rgb="FF404040"/>
        <rFont val="DejaVu Sans"/>
        <charset val="134"/>
      </rPr>
      <t xml:space="preserve">），故评级为「完全一致 </t>
    </r>
    <r>
      <rPr>
        <sz val="9"/>
        <color rgb="FF404040"/>
        <rFont val="Times New Roman"/>
        <charset val="1"/>
      </rPr>
      <t>δ=0%</t>
    </r>
    <r>
      <rPr>
        <sz val="9"/>
        <color rgb="FF404040"/>
        <rFont val="DejaVu Sans"/>
        <charset val="134"/>
      </rPr>
      <t>」。</t>
    </r>
  </si>
  <si>
    <r>
      <rPr>
        <b/>
        <sz val="13"/>
        <rFont val="DejaVu Sans"/>
        <charset val="134"/>
      </rPr>
      <t xml:space="preserve">表 </t>
    </r>
    <r>
      <rPr>
        <b/>
        <sz val="13"/>
        <rFont val="Times New Roman"/>
        <charset val="1"/>
      </rPr>
      <t xml:space="preserve">7  </t>
    </r>
    <r>
      <rPr>
        <b/>
        <sz val="13"/>
        <rFont val="DejaVu Sans"/>
        <charset val="134"/>
      </rPr>
      <t>结果的计算可复现性的评估表（① 本研究</t>
    </r>
    <r>
      <rPr>
        <b/>
        <sz val="13"/>
        <rFont val="Times New Roman"/>
        <charset val="1"/>
      </rPr>
      <t xml:space="preserve">·RStudio </t>
    </r>
    <r>
      <rPr>
        <b/>
        <sz val="13"/>
        <rFont val="DejaVu Sans"/>
        <charset val="134"/>
      </rPr>
      <t>主版</t>
    </r>
    <r>
      <rPr>
        <b/>
        <sz val="13"/>
        <rFont val="Times New Roman"/>
        <charset val="1"/>
      </rPr>
      <t>·10</t>
    </r>
    <r>
      <rPr>
        <b/>
        <sz val="13"/>
        <rFont val="DejaVu Sans"/>
        <charset val="134"/>
      </rPr>
      <t>社区）</t>
    </r>
  </si>
  <si>
    <r>
      <rPr>
        <sz val="9"/>
        <color rgb="FF404040"/>
        <rFont val="DejaVu Sans"/>
        <charset val="134"/>
      </rPr>
      <t xml:space="preserve">说明：本表为【本研究】单独一份。对采用原文方法的全部推断统计结果做配对比较与评级，共 </t>
    </r>
    <r>
      <rPr>
        <sz val="9"/>
        <color rgb="FF404040"/>
        <rFont val="Times New Roman"/>
        <charset val="1"/>
      </rPr>
      <t xml:space="preserve">14 </t>
    </r>
    <r>
      <rPr>
        <sz val="9"/>
        <color rgb="FF404040"/>
        <rFont val="DejaVu Sans"/>
        <charset val="134"/>
      </rPr>
      <t>项。</t>
    </r>
  </si>
  <si>
    <t>结果的可复现性</t>
  </si>
  <si>
    <r>
      <rPr>
        <b/>
        <sz val="10"/>
        <color rgb="FFFFFFFF"/>
        <rFont val="DejaVu Sans"/>
        <charset val="134"/>
      </rPr>
      <t xml:space="preserve">数量 </t>
    </r>
    <r>
      <rPr>
        <b/>
        <sz val="10"/>
        <color rgb="FFFFFFFF"/>
        <rFont val="Times New Roman"/>
        <charset val="1"/>
      </rPr>
      <t>N</t>
    </r>
  </si>
  <si>
    <r>
      <rPr>
        <b/>
        <sz val="10"/>
        <color rgb="FFFFFFFF"/>
        <rFont val="DejaVu Sans"/>
        <charset val="134"/>
      </rPr>
      <t xml:space="preserve">占比 </t>
    </r>
    <r>
      <rPr>
        <b/>
        <sz val="10"/>
        <color rgb="FFFFFFFF"/>
        <rFont val="Times New Roman"/>
        <charset val="1"/>
      </rPr>
      <t>%</t>
    </r>
  </si>
  <si>
    <r>
      <rPr>
        <b/>
        <sz val="10"/>
        <rFont val="DejaVu Sans"/>
        <charset val="134"/>
      </rPr>
      <t xml:space="preserve">完全一致 </t>
    </r>
    <r>
      <rPr>
        <b/>
        <sz val="10"/>
        <rFont val="Times New Roman"/>
        <charset val="1"/>
      </rPr>
      <t>(δ = 0%)</t>
    </r>
  </si>
  <si>
    <r>
      <rPr>
        <b/>
        <sz val="10"/>
        <rFont val="DejaVu Sans"/>
        <charset val="134"/>
      </rPr>
      <t xml:space="preserve">偏差较小 </t>
    </r>
    <r>
      <rPr>
        <b/>
        <sz val="10"/>
        <rFont val="Times New Roman"/>
        <charset val="1"/>
      </rPr>
      <t>(0% &lt; δ &lt; 10%)</t>
    </r>
  </si>
  <si>
    <r>
      <rPr>
        <b/>
        <sz val="10"/>
        <rFont val="DejaVu Sans"/>
        <charset val="134"/>
      </rPr>
      <t xml:space="preserve">偏差较大 </t>
    </r>
    <r>
      <rPr>
        <b/>
        <sz val="10"/>
        <rFont val="Times New Roman"/>
        <charset val="1"/>
      </rPr>
      <t>(δ &gt; 10%)</t>
    </r>
  </si>
  <si>
    <t>因舍入导致的偏差</t>
  </si>
  <si>
    <t>无法进行可重复检验</t>
  </si>
  <si>
    <t>合计</t>
  </si>
  <si>
    <r>
      <rPr>
        <sz val="9"/>
        <color rgb="FF404040"/>
        <rFont val="Times New Roman"/>
        <charset val="1"/>
      </rPr>
      <t xml:space="preserve">* N </t>
    </r>
    <r>
      <rPr>
        <sz val="9"/>
        <color rgb="FF404040"/>
        <rFont val="DejaVu Sans"/>
        <charset val="134"/>
      </rPr>
      <t xml:space="preserve">指与原结果配对比较的数值个数：每个目标效应的各报告数值各计 </t>
    </r>
    <r>
      <rPr>
        <sz val="9"/>
        <color rgb="FF404040"/>
        <rFont val="Times New Roman"/>
        <charset val="1"/>
      </rPr>
      <t xml:space="preserve">1 </t>
    </r>
    <r>
      <rPr>
        <sz val="9"/>
        <color rgb="FF404040"/>
        <rFont val="DejaVu Sans"/>
        <charset val="134"/>
      </rPr>
      <t>个，跨效应求和。</t>
    </r>
  </si>
  <si>
    <r>
      <rPr>
        <sz val="9"/>
        <color rgb="FF404040"/>
        <rFont val="DejaVu Sans"/>
        <charset val="134"/>
      </rPr>
      <t>① 计数明细（</t>
    </r>
    <r>
      <rPr>
        <sz val="9"/>
        <color rgb="FF404040"/>
        <rFont val="Times New Roman"/>
        <charset val="1"/>
      </rPr>
      <t xml:space="preserve">14 </t>
    </r>
    <r>
      <rPr>
        <sz val="9"/>
        <color rgb="FF404040"/>
        <rFont val="DejaVu Sans"/>
        <charset val="134"/>
      </rPr>
      <t xml:space="preserve">项）：样本量 </t>
    </r>
    <r>
      <rPr>
        <sz val="9"/>
        <color rgb="FF404040"/>
        <rFont val="Times New Roman"/>
        <charset val="1"/>
      </rPr>
      <t>4</t>
    </r>
    <r>
      <rPr>
        <sz val="9"/>
        <color rgb="FF404040"/>
        <rFont val="DejaVu Sans"/>
        <charset val="134"/>
      </rPr>
      <t>（</t>
    </r>
    <r>
      <rPr>
        <sz val="9"/>
        <color rgb="FF404040"/>
        <rFont val="Times New Roman"/>
        <charset val="1"/>
      </rPr>
      <t>802 / 176 / 108 / 518</t>
    </r>
    <r>
      <rPr>
        <sz val="9"/>
        <color rgb="FF404040"/>
        <rFont val="DejaVu Sans"/>
        <charset val="134"/>
      </rPr>
      <t>）；</t>
    </r>
    <r>
      <rPr>
        <sz val="9"/>
        <color rgb="FF404040"/>
        <rFont val="Times New Roman"/>
        <charset val="1"/>
      </rPr>
      <t xml:space="preserve">MANOVA </t>
    </r>
    <r>
      <rPr>
        <sz val="9"/>
        <color rgb="FF404040"/>
        <rFont val="DejaVu Sans"/>
        <charset val="134"/>
      </rPr>
      <t xml:space="preserve">统计量 </t>
    </r>
    <r>
      <rPr>
        <sz val="9"/>
        <color rgb="FF404040"/>
        <rFont val="Times New Roman"/>
        <charset val="1"/>
      </rPr>
      <t xml:space="preserve">F 4 + </t>
    </r>
    <r>
      <rPr>
        <sz val="9"/>
        <color rgb="FF404040"/>
        <rFont val="DejaVu Sans"/>
        <charset val="134"/>
      </rPr>
      <t xml:space="preserve">效应量 </t>
    </r>
    <r>
      <rPr>
        <sz val="9"/>
        <color rgb="FF404040"/>
        <rFont val="Times New Roman"/>
        <charset val="1"/>
      </rPr>
      <t>Pillai 4</t>
    </r>
    <r>
      <rPr>
        <sz val="9"/>
        <color rgb="FF404040"/>
        <rFont val="DejaVu Sans"/>
        <charset val="134"/>
      </rPr>
      <t xml:space="preserve">（整体 </t>
    </r>
    <r>
      <rPr>
        <sz val="9"/>
        <color rgb="FF404040"/>
        <rFont val="Times New Roman"/>
        <charset val="1"/>
      </rPr>
      <t>/ 1v2 / 1v3 / 2v3</t>
    </r>
    <r>
      <rPr>
        <sz val="9"/>
        <color rgb="FF404040"/>
        <rFont val="DejaVu Sans"/>
        <charset val="134"/>
      </rPr>
      <t>）；</t>
    </r>
    <r>
      <rPr>
        <sz val="9"/>
        <color rgb="FF404040"/>
        <rFont val="Times New Roman"/>
        <charset val="1"/>
      </rPr>
      <t xml:space="preserve">Box's M </t>
    </r>
    <r>
      <rPr>
        <sz val="9"/>
        <color rgb="FF404040"/>
        <rFont val="DejaVu Sans"/>
        <charset val="134"/>
      </rPr>
      <t xml:space="preserve">自由度 </t>
    </r>
    <r>
      <rPr>
        <sz val="9"/>
        <color rgb="FF404040"/>
        <rFont val="Times New Roman"/>
        <charset val="1"/>
      </rPr>
      <t xml:space="preserve">df 1 + </t>
    </r>
    <r>
      <rPr>
        <sz val="9"/>
        <color rgb="FF404040"/>
        <rFont val="DejaVu Sans"/>
        <charset val="134"/>
      </rPr>
      <t xml:space="preserve">统计量 </t>
    </r>
    <r>
      <rPr>
        <sz val="9"/>
        <color rgb="FF404040"/>
        <rFont val="Times New Roman"/>
        <charset val="1"/>
      </rPr>
      <t>1</t>
    </r>
    <r>
      <rPr>
        <sz val="9"/>
        <color rgb="FF404040"/>
        <rFont val="DejaVu Sans"/>
        <charset val="134"/>
      </rPr>
      <t>。</t>
    </r>
  </si>
  <si>
    <r>
      <rPr>
        <sz val="9"/>
        <color rgb="FF404040"/>
        <rFont val="DejaVu Sans"/>
        <charset val="134"/>
      </rPr>
      <t xml:space="preserve">② 全部 </t>
    </r>
    <r>
      <rPr>
        <sz val="9"/>
        <color rgb="FF404040"/>
        <rFont val="Times New Roman"/>
        <charset val="1"/>
      </rPr>
      <t xml:space="preserve">14 </t>
    </r>
    <r>
      <rPr>
        <sz val="9"/>
        <color rgb="FF404040"/>
        <rFont val="DejaVu Sans"/>
        <charset val="134"/>
      </rPr>
      <t>项均「完全一致」：</t>
    </r>
    <r>
      <rPr>
        <sz val="9"/>
        <color rgb="FF404040"/>
        <rFont val="Times New Roman"/>
        <charset val="1"/>
      </rPr>
      <t xml:space="preserve">MANOVA 8 </t>
    </r>
    <r>
      <rPr>
        <sz val="9"/>
        <color rgb="FF404040"/>
        <rFont val="DejaVu Sans"/>
        <charset val="134"/>
      </rPr>
      <t>值按原文报告精度四舍五入后逐一相等（</t>
    </r>
    <r>
      <rPr>
        <sz val="9"/>
        <color rgb="FF404040"/>
        <rFont val="Times New Roman"/>
        <charset val="1"/>
      </rPr>
      <t>δ=0%</t>
    </r>
    <r>
      <rPr>
        <sz val="9"/>
        <color rgb="FF404040"/>
        <rFont val="DejaVu Sans"/>
        <charset val="134"/>
      </rPr>
      <t>）；样本量精确重建一致；</t>
    </r>
    <r>
      <rPr>
        <sz val="9"/>
        <color rgb="FF404040"/>
        <rFont val="Times New Roman"/>
        <charset val="1"/>
      </rPr>
      <t xml:space="preserve">Box's M df=9591 </t>
    </r>
    <r>
      <rPr>
        <sz val="9"/>
        <color rgb="FF404040"/>
        <rFont val="DejaVu Sans"/>
        <charset val="134"/>
      </rPr>
      <t>一致。</t>
    </r>
  </si>
  <si>
    <r>
      <rPr>
        <sz val="9"/>
        <color rgb="FF404040"/>
        <rFont val="Times New Roman"/>
        <charset val="1"/>
      </rPr>
      <t xml:space="preserve">③ Box's M </t>
    </r>
    <r>
      <rPr>
        <sz val="9"/>
        <color rgb="FF404040"/>
        <rFont val="DejaVu Sans"/>
        <charset val="134"/>
      </rPr>
      <t>统计量换算：</t>
    </r>
    <r>
      <rPr>
        <sz val="9"/>
        <color rgb="FF404040"/>
        <rFont val="Times New Roman"/>
        <charset val="1"/>
      </rPr>
      <t xml:space="preserve">R </t>
    </r>
    <r>
      <rPr>
        <sz val="9"/>
        <color rgb="FF404040"/>
        <rFont val="DejaVu Sans"/>
        <charset val="134"/>
      </rPr>
      <t xml:space="preserve">报 </t>
    </r>
    <r>
      <rPr>
        <sz val="9"/>
        <color rgb="FF404040"/>
        <rFont val="Times New Roman"/>
        <charset val="1"/>
      </rPr>
      <t xml:space="preserve">χ²=12891 → </t>
    </r>
    <r>
      <rPr>
        <sz val="9"/>
        <color rgb="FF404040"/>
        <rFont val="DejaVu Sans"/>
        <charset val="134"/>
      </rPr>
      <t xml:space="preserve">反推 </t>
    </r>
    <r>
      <rPr>
        <sz val="9"/>
        <color rgb="FF404040"/>
        <rFont val="Times New Roman"/>
        <charset val="1"/>
      </rPr>
      <t xml:space="preserve">M=18064 → Box </t>
    </r>
    <r>
      <rPr>
        <sz val="9"/>
        <color rgb="FF404040"/>
        <rFont val="DejaVu Sans"/>
        <charset val="134"/>
      </rPr>
      <t xml:space="preserve">标准 </t>
    </r>
    <r>
      <rPr>
        <sz val="9"/>
        <color rgb="FF404040"/>
        <rFont val="Times New Roman"/>
        <charset val="1"/>
      </rPr>
      <t xml:space="preserve">F </t>
    </r>
    <r>
      <rPr>
        <sz val="9"/>
        <color rgb="FF404040"/>
        <rFont val="DejaVu Sans"/>
        <charset val="134"/>
      </rPr>
      <t xml:space="preserve">近似得 </t>
    </r>
    <r>
      <rPr>
        <sz val="9"/>
        <color rgb="FF404040"/>
        <rFont val="Times New Roman"/>
        <charset val="1"/>
      </rPr>
      <t>F=1.292</t>
    </r>
    <r>
      <rPr>
        <sz val="9"/>
        <color rgb="FF404040"/>
        <rFont val="DejaVu Sans"/>
        <charset val="134"/>
      </rPr>
      <t xml:space="preserve">，与原文 </t>
    </r>
    <r>
      <rPr>
        <sz val="9"/>
        <color rgb="FF404040"/>
        <rFont val="Times New Roman"/>
        <charset val="1"/>
      </rPr>
      <t xml:space="preserve">SI 7 </t>
    </r>
    <r>
      <rPr>
        <sz val="9"/>
        <color rgb="FF404040"/>
        <rFont val="DejaVu Sans"/>
        <charset val="134"/>
      </rPr>
      <t>逐位一致（</t>
    </r>
    <r>
      <rPr>
        <sz val="9"/>
        <color rgb="FF404040"/>
        <rFont val="Times New Roman"/>
        <charset val="1"/>
      </rPr>
      <t>PE=0%</t>
    </r>
    <r>
      <rPr>
        <sz val="9"/>
        <color rgb="FF404040"/>
        <rFont val="DejaVu Sans"/>
        <charset val="134"/>
      </rPr>
      <t>）→ 完全一致。</t>
    </r>
  </si>
  <si>
    <r>
      <rPr>
        <sz val="9"/>
        <color rgb="FF404040"/>
        <rFont val="Times New Roman"/>
        <charset val="1"/>
      </rPr>
      <t xml:space="preserve">④ p </t>
    </r>
    <r>
      <rPr>
        <sz val="9"/>
        <color rgb="FF404040"/>
        <rFont val="DejaVu Sans"/>
        <charset val="134"/>
      </rPr>
      <t>值（显著性）属推论一致性，计入表</t>
    </r>
    <r>
      <rPr>
        <sz val="9"/>
        <color rgb="FF404040"/>
        <rFont val="Times New Roman"/>
        <charset val="1"/>
      </rPr>
      <t>8</t>
    </r>
    <r>
      <rPr>
        <sz val="9"/>
        <color rgb="FF404040"/>
        <rFont val="DejaVu Sans"/>
        <charset val="134"/>
      </rPr>
      <t>，不计入本表结果数。</t>
    </r>
  </si>
  <si>
    <r>
      <rPr>
        <b/>
        <sz val="13"/>
        <rFont val="DejaVu Sans"/>
        <charset val="134"/>
      </rPr>
      <t xml:space="preserve">表 </t>
    </r>
    <r>
      <rPr>
        <b/>
        <sz val="13"/>
        <rFont val="Times New Roman"/>
        <charset val="1"/>
      </rPr>
      <t xml:space="preserve">7  </t>
    </r>
    <r>
      <rPr>
        <b/>
        <sz val="13"/>
        <rFont val="DejaVu Sans"/>
        <charset val="134"/>
      </rPr>
      <t xml:space="preserve">结果的计算可复现性的评估表（② </t>
    </r>
    <r>
      <rPr>
        <b/>
        <sz val="13"/>
        <rFont val="Times New Roman"/>
        <charset val="1"/>
      </rPr>
      <t>Claude code·8</t>
    </r>
    <r>
      <rPr>
        <b/>
        <sz val="13"/>
        <rFont val="DejaVu Sans"/>
        <charset val="134"/>
      </rPr>
      <t>社区分支）</t>
    </r>
  </si>
  <si>
    <r>
      <rPr>
        <sz val="9"/>
        <color rgb="FF404040"/>
        <rFont val="DejaVu Sans"/>
        <charset val="134"/>
      </rPr>
      <t>说明：本表为【</t>
    </r>
    <r>
      <rPr>
        <sz val="9"/>
        <color rgb="FF404040"/>
        <rFont val="Times New Roman"/>
        <charset val="1"/>
      </rPr>
      <t>Claude code</t>
    </r>
    <r>
      <rPr>
        <sz val="9"/>
        <color rgb="FF404040"/>
        <rFont val="DejaVu Sans"/>
        <charset val="134"/>
      </rPr>
      <t xml:space="preserve">】单独一份；因 </t>
    </r>
    <r>
      <rPr>
        <sz val="9"/>
        <color rgb="FF404040"/>
        <rFont val="Times New Roman"/>
        <charset val="1"/>
      </rPr>
      <t xml:space="preserve">MANOVA/Box's M </t>
    </r>
    <r>
      <rPr>
        <sz val="9"/>
        <color rgb="FF404040"/>
        <rFont val="DejaVu Sans"/>
        <charset val="134"/>
      </rPr>
      <t xml:space="preserve">与社区数无关，数值与本研究逐字一致（互为独立复现交叉验证）。对采用原文方法的全部推断统计结果做配对比较与评级，共 </t>
    </r>
    <r>
      <rPr>
        <sz val="9"/>
        <color rgb="FF404040"/>
        <rFont val="Times New Roman"/>
        <charset val="1"/>
      </rPr>
      <t xml:space="preserve">14 </t>
    </r>
    <r>
      <rPr>
        <sz val="9"/>
        <color rgb="FF404040"/>
        <rFont val="DejaVu Sans"/>
        <charset val="134"/>
      </rPr>
      <t>项。</t>
    </r>
  </si>
  <si>
    <r>
      <rPr>
        <b/>
        <sz val="13"/>
        <rFont val="DejaVu Sans"/>
        <charset val="134"/>
      </rPr>
      <t xml:space="preserve">表 </t>
    </r>
    <r>
      <rPr>
        <b/>
        <sz val="13"/>
        <rFont val="Times New Roman"/>
        <charset val="1"/>
      </rPr>
      <t xml:space="preserve">8  </t>
    </r>
    <r>
      <rPr>
        <b/>
        <sz val="13"/>
        <rFont val="DejaVu Sans"/>
        <charset val="134"/>
      </rPr>
      <t xml:space="preserve">推论的一致性的评估表（原分析方法 </t>
    </r>
    <r>
      <rPr>
        <b/>
        <sz val="13"/>
        <rFont val="Times New Roman"/>
        <charset val="1"/>
      </rPr>
      <t xml:space="preserve">· ① </t>
    </r>
    <r>
      <rPr>
        <b/>
        <sz val="13"/>
        <rFont val="DejaVu Sans"/>
        <charset val="134"/>
      </rPr>
      <t>本研究</t>
    </r>
    <r>
      <rPr>
        <b/>
        <sz val="13"/>
        <rFont val="Times New Roman"/>
        <charset val="1"/>
      </rPr>
      <t xml:space="preserve">·RStudio </t>
    </r>
    <r>
      <rPr>
        <b/>
        <sz val="13"/>
        <rFont val="DejaVu Sans"/>
        <charset val="134"/>
      </rPr>
      <t>主版</t>
    </r>
    <r>
      <rPr>
        <b/>
        <sz val="13"/>
        <rFont val="Times New Roman"/>
        <charset val="1"/>
      </rPr>
      <t>·10</t>
    </r>
    <r>
      <rPr>
        <b/>
        <sz val="13"/>
        <rFont val="DejaVu Sans"/>
        <charset val="134"/>
      </rPr>
      <t>社区）</t>
    </r>
  </si>
  <si>
    <r>
      <rPr>
        <sz val="9"/>
        <color rgb="FF404040"/>
        <rFont val="DejaVu Sans"/>
        <charset val="134"/>
      </rPr>
      <t xml:space="preserve">说明：本表为【本研究】单独一份。推论一致性指原文 </t>
    </r>
    <r>
      <rPr>
        <sz val="9"/>
        <color rgb="FF404040"/>
        <rFont val="Times New Roman"/>
        <charset val="1"/>
      </rPr>
      <t xml:space="preserve">p </t>
    </r>
    <r>
      <rPr>
        <sz val="9"/>
        <color rgb="FF404040"/>
        <rFont val="DejaVu Sans"/>
        <charset val="134"/>
      </rPr>
      <t xml:space="preserve">值与复现 </t>
    </r>
    <r>
      <rPr>
        <sz val="9"/>
        <color rgb="FF404040"/>
        <rFont val="Times New Roman"/>
        <charset val="1"/>
      </rPr>
      <t xml:space="preserve">p </t>
    </r>
    <r>
      <rPr>
        <sz val="9"/>
        <color rgb="FF404040"/>
        <rFont val="DejaVu Sans"/>
        <charset val="134"/>
      </rPr>
      <t xml:space="preserve">值是否落在 </t>
    </r>
    <r>
      <rPr>
        <sz val="9"/>
        <color rgb="FF404040"/>
        <rFont val="Times New Roman"/>
        <charset val="1"/>
      </rPr>
      <t xml:space="preserve">α=0.05 </t>
    </r>
    <r>
      <rPr>
        <sz val="9"/>
        <color rgb="FF404040"/>
        <rFont val="DejaVu Sans"/>
        <charset val="134"/>
      </rPr>
      <t xml:space="preserve">边界同侧。共 </t>
    </r>
    <r>
      <rPr>
        <sz val="9"/>
        <color rgb="FF404040"/>
        <rFont val="Times New Roman"/>
        <charset val="1"/>
      </rPr>
      <t xml:space="preserve">5 </t>
    </r>
    <r>
      <rPr>
        <sz val="9"/>
        <color rgb="FF404040"/>
        <rFont val="DejaVu Sans"/>
        <charset val="134"/>
      </rPr>
      <t>个统计推断。</t>
    </r>
  </si>
  <si>
    <t>推论的一致性</t>
  </si>
  <si>
    <t>一致</t>
  </si>
  <si>
    <t>不一致</t>
  </si>
  <si>
    <r>
      <rPr>
        <sz val="9"/>
        <color rgb="FF404040"/>
        <rFont val="Times New Roman"/>
        <charset val="1"/>
      </rPr>
      <t xml:space="preserve">* </t>
    </r>
    <r>
      <rPr>
        <sz val="9"/>
        <color rgb="FF404040"/>
        <rFont val="DejaVu Sans"/>
        <charset val="134"/>
      </rPr>
      <t xml:space="preserve">推论数量 </t>
    </r>
    <r>
      <rPr>
        <sz val="9"/>
        <color rgb="FF404040"/>
        <rFont val="Times New Roman"/>
        <charset val="1"/>
      </rPr>
      <t xml:space="preserve">N </t>
    </r>
    <r>
      <rPr>
        <sz val="9"/>
        <color rgb="FF404040"/>
        <rFont val="DejaVu Sans"/>
        <charset val="134"/>
      </rPr>
      <t xml:space="preserve">指对效应做出统计推断的次数。共 </t>
    </r>
    <r>
      <rPr>
        <sz val="9"/>
        <color rgb="FF404040"/>
        <rFont val="Times New Roman"/>
        <charset val="1"/>
      </rPr>
      <t xml:space="preserve">5 </t>
    </r>
    <r>
      <rPr>
        <sz val="9"/>
        <color rgb="FF404040"/>
        <rFont val="DejaVu Sans"/>
        <charset val="134"/>
      </rPr>
      <t xml:space="preserve">次：三组整体 </t>
    </r>
    <r>
      <rPr>
        <sz val="9"/>
        <color rgb="FF404040"/>
        <rFont val="Times New Roman"/>
        <charset val="1"/>
      </rPr>
      <t>MANOVA</t>
    </r>
    <r>
      <rPr>
        <sz val="9"/>
        <color rgb="FF404040"/>
        <rFont val="DejaVu Sans"/>
        <charset val="134"/>
      </rPr>
      <t>、</t>
    </r>
    <r>
      <rPr>
        <sz val="9"/>
        <color rgb="FF404040"/>
        <rFont val="Times New Roman"/>
        <charset val="1"/>
      </rPr>
      <t>1v2</t>
    </r>
    <r>
      <rPr>
        <sz val="9"/>
        <color rgb="FF404040"/>
        <rFont val="DejaVu Sans"/>
        <charset val="134"/>
      </rPr>
      <t>、</t>
    </r>
    <r>
      <rPr>
        <sz val="9"/>
        <color rgb="FF404040"/>
        <rFont val="Times New Roman"/>
        <charset val="1"/>
      </rPr>
      <t>1v3</t>
    </r>
    <r>
      <rPr>
        <sz val="9"/>
        <color rgb="FF404040"/>
        <rFont val="DejaVu Sans"/>
        <charset val="134"/>
      </rPr>
      <t>、</t>
    </r>
    <r>
      <rPr>
        <sz val="9"/>
        <color rgb="FF404040"/>
        <rFont val="Times New Roman"/>
        <charset val="1"/>
      </rPr>
      <t xml:space="preserve">2v3 </t>
    </r>
    <r>
      <rPr>
        <sz val="9"/>
        <color rgb="FF404040"/>
        <rFont val="DejaVu Sans"/>
        <charset val="134"/>
      </rPr>
      <t xml:space="preserve">各 </t>
    </r>
    <r>
      <rPr>
        <sz val="9"/>
        <color rgb="FF404040"/>
        <rFont val="Times New Roman"/>
        <charset val="1"/>
      </rPr>
      <t xml:space="preserve">1 </t>
    </r>
    <r>
      <rPr>
        <sz val="9"/>
        <color rgb="FF404040"/>
        <rFont val="DejaVu Sans"/>
        <charset val="134"/>
      </rPr>
      <t>次，</t>
    </r>
    <r>
      <rPr>
        <sz val="9"/>
        <color rgb="FF404040"/>
        <rFont val="Times New Roman"/>
        <charset val="1"/>
      </rPr>
      <t xml:space="preserve">Box's M 1 </t>
    </r>
    <r>
      <rPr>
        <sz val="9"/>
        <color rgb="FF404040"/>
        <rFont val="DejaVu Sans"/>
        <charset val="134"/>
      </rPr>
      <t>次。</t>
    </r>
  </si>
  <si>
    <r>
      <rPr>
        <sz val="9"/>
        <color rgb="FF404040"/>
        <rFont val="DejaVu Sans"/>
        <charset val="134"/>
      </rPr>
      <t xml:space="preserve">① 一致判定：原文 </t>
    </r>
    <r>
      <rPr>
        <sz val="9"/>
        <color rgb="FF404040"/>
        <rFont val="Times New Roman"/>
        <charset val="1"/>
      </rPr>
      <t xml:space="preserve">p </t>
    </r>
    <r>
      <rPr>
        <sz val="9"/>
        <color rgb="FF404040"/>
        <rFont val="DejaVu Sans"/>
        <charset val="134"/>
      </rPr>
      <t xml:space="preserve">与复现 </t>
    </r>
    <r>
      <rPr>
        <sz val="9"/>
        <color rgb="FF404040"/>
        <rFont val="Times New Roman"/>
        <charset val="1"/>
      </rPr>
      <t xml:space="preserve">p </t>
    </r>
    <r>
      <rPr>
        <sz val="9"/>
        <color rgb="FF404040"/>
        <rFont val="DejaVu Sans"/>
        <charset val="134"/>
      </rPr>
      <t xml:space="preserve">落在 </t>
    </r>
    <r>
      <rPr>
        <sz val="9"/>
        <color rgb="FF404040"/>
        <rFont val="Times New Roman"/>
        <charset val="1"/>
      </rPr>
      <t xml:space="preserve">α=0.05 </t>
    </r>
    <r>
      <rPr>
        <sz val="9"/>
        <color rgb="FF404040"/>
        <rFont val="DejaVu Sans"/>
        <charset val="134"/>
      </rPr>
      <t>同侧即为一致。逐项——</t>
    </r>
  </si>
  <si>
    <r>
      <rPr>
        <sz val="9"/>
        <color rgb="FF404040"/>
        <rFont val="Times New Roman"/>
        <charset val="1"/>
      </rPr>
      <t xml:space="preserve">   · </t>
    </r>
    <r>
      <rPr>
        <sz val="9"/>
        <color rgb="FF404040"/>
        <rFont val="DejaVu Sans"/>
        <charset val="134"/>
      </rPr>
      <t xml:space="preserve">整体 </t>
    </r>
    <r>
      <rPr>
        <sz val="9"/>
        <color rgb="FF404040"/>
        <rFont val="Times New Roman"/>
        <charset val="1"/>
      </rPr>
      <t>MANOVA</t>
    </r>
    <r>
      <rPr>
        <sz val="9"/>
        <color rgb="FF404040"/>
        <rFont val="DejaVu Sans"/>
        <charset val="134"/>
      </rPr>
      <t xml:space="preserve">：原文 </t>
    </r>
    <r>
      <rPr>
        <sz val="9"/>
        <color rgb="FF404040"/>
        <rFont val="Times New Roman"/>
        <charset val="1"/>
      </rPr>
      <t>p&lt;.001</t>
    </r>
    <r>
      <rPr>
        <sz val="9"/>
        <color rgb="FF404040"/>
        <rFont val="DejaVu Sans"/>
        <charset val="134"/>
      </rPr>
      <t xml:space="preserve">｜复现 </t>
    </r>
    <r>
      <rPr>
        <sz val="9"/>
        <color rgb="FF404040"/>
        <rFont val="Times New Roman"/>
        <charset val="1"/>
      </rPr>
      <t xml:space="preserve">p&lt;2.2e-16 → </t>
    </r>
    <r>
      <rPr>
        <sz val="9"/>
        <color rgb="FF404040"/>
        <rFont val="DejaVu Sans"/>
        <charset val="134"/>
      </rPr>
      <t>同侧（显著）✓</t>
    </r>
  </si>
  <si>
    <r>
      <rPr>
        <sz val="9"/>
        <color rgb="FF404040"/>
        <rFont val="Times New Roman"/>
        <charset val="1"/>
      </rPr>
      <t xml:space="preserve">   · 1 vs 2</t>
    </r>
    <r>
      <rPr>
        <sz val="9"/>
        <color rgb="FF404040"/>
        <rFont val="DejaVu Sans"/>
        <charset val="134"/>
      </rPr>
      <t xml:space="preserve">：原文 </t>
    </r>
    <r>
      <rPr>
        <sz val="9"/>
        <color rgb="FF404040"/>
        <rFont val="Times New Roman"/>
        <charset val="1"/>
      </rPr>
      <t>p&lt;.001</t>
    </r>
    <r>
      <rPr>
        <sz val="9"/>
        <color rgb="FF404040"/>
        <rFont val="DejaVu Sans"/>
        <charset val="134"/>
      </rPr>
      <t xml:space="preserve">｜复现 </t>
    </r>
    <r>
      <rPr>
        <sz val="9"/>
        <color rgb="FF404040"/>
        <rFont val="Times New Roman"/>
        <charset val="1"/>
      </rPr>
      <t xml:space="preserve">p=3.998e-05 → </t>
    </r>
    <r>
      <rPr>
        <sz val="9"/>
        <color rgb="FF404040"/>
        <rFont val="DejaVu Sans"/>
        <charset val="134"/>
      </rPr>
      <t>同侧（显著）✓</t>
    </r>
  </si>
  <si>
    <r>
      <rPr>
        <sz val="9"/>
        <color rgb="FF404040"/>
        <rFont val="Times New Roman"/>
        <charset val="1"/>
      </rPr>
      <t xml:space="preserve">   · 1 vs 3</t>
    </r>
    <r>
      <rPr>
        <sz val="9"/>
        <color rgb="FF404040"/>
        <rFont val="DejaVu Sans"/>
        <charset val="134"/>
      </rPr>
      <t xml:space="preserve">：原文 </t>
    </r>
    <r>
      <rPr>
        <sz val="9"/>
        <color rgb="FF404040"/>
        <rFont val="Times New Roman"/>
        <charset val="1"/>
      </rPr>
      <t>p&lt;.001</t>
    </r>
    <r>
      <rPr>
        <sz val="9"/>
        <color rgb="FF404040"/>
        <rFont val="DejaVu Sans"/>
        <charset val="134"/>
      </rPr>
      <t xml:space="preserve">｜复现 </t>
    </r>
    <r>
      <rPr>
        <sz val="9"/>
        <color rgb="FF404040"/>
        <rFont val="Times New Roman"/>
        <charset val="1"/>
      </rPr>
      <t xml:space="preserve">p&lt;2.2e-16 → </t>
    </r>
    <r>
      <rPr>
        <sz val="9"/>
        <color rgb="FF404040"/>
        <rFont val="DejaVu Sans"/>
        <charset val="134"/>
      </rPr>
      <t>同侧（显著）✓</t>
    </r>
  </si>
  <si>
    <r>
      <rPr>
        <sz val="9"/>
        <color rgb="FF404040"/>
        <rFont val="Times New Roman"/>
        <charset val="1"/>
      </rPr>
      <t xml:space="preserve">   · 2 vs 3</t>
    </r>
    <r>
      <rPr>
        <sz val="9"/>
        <color rgb="FF404040"/>
        <rFont val="DejaVu Sans"/>
        <charset val="134"/>
      </rPr>
      <t xml:space="preserve">：原文 </t>
    </r>
    <r>
      <rPr>
        <sz val="9"/>
        <color rgb="FF404040"/>
        <rFont val="Times New Roman"/>
        <charset val="1"/>
      </rPr>
      <t>p&lt;.001</t>
    </r>
    <r>
      <rPr>
        <sz val="9"/>
        <color rgb="FF404040"/>
        <rFont val="DejaVu Sans"/>
        <charset val="134"/>
      </rPr>
      <t xml:space="preserve">｜复现 </t>
    </r>
    <r>
      <rPr>
        <sz val="9"/>
        <color rgb="FF404040"/>
        <rFont val="Times New Roman"/>
        <charset val="1"/>
      </rPr>
      <t xml:space="preserve">p&lt;2.2e-16 → </t>
    </r>
    <r>
      <rPr>
        <sz val="9"/>
        <color rgb="FF404040"/>
        <rFont val="DejaVu Sans"/>
        <charset val="134"/>
      </rPr>
      <t>同侧（显著）✓</t>
    </r>
  </si>
  <si>
    <r>
      <rPr>
        <sz val="9"/>
        <color rgb="FF404040"/>
        <rFont val="Times New Roman"/>
        <charset val="1"/>
      </rPr>
      <t xml:space="preserve">   · Box's M</t>
    </r>
    <r>
      <rPr>
        <sz val="9"/>
        <color rgb="FF404040"/>
        <rFont val="DejaVu Sans"/>
        <charset val="134"/>
      </rPr>
      <t xml:space="preserve">：原文 </t>
    </r>
    <r>
      <rPr>
        <sz val="9"/>
        <color rgb="FF404040"/>
        <rFont val="Times New Roman"/>
        <charset val="1"/>
      </rPr>
      <t>p&lt;.001</t>
    </r>
    <r>
      <rPr>
        <sz val="9"/>
        <color rgb="FF404040"/>
        <rFont val="DejaVu Sans"/>
        <charset val="134"/>
      </rPr>
      <t xml:space="preserve">｜复现 </t>
    </r>
    <r>
      <rPr>
        <sz val="9"/>
        <color rgb="FF404040"/>
        <rFont val="Times New Roman"/>
        <charset val="1"/>
      </rPr>
      <t xml:space="preserve">p&lt;2.2e-16 → </t>
    </r>
    <r>
      <rPr>
        <sz val="9"/>
        <color rgb="FF404040"/>
        <rFont val="DejaVu Sans"/>
        <charset val="134"/>
      </rPr>
      <t>同侧（协方差不齐）✓</t>
    </r>
  </si>
  <si>
    <r>
      <rPr>
        <sz val="9"/>
        <color rgb="FF404040"/>
        <rFont val="Times New Roman"/>
        <charset val="1"/>
      </rPr>
      <t xml:space="preserve">② 5 </t>
    </r>
    <r>
      <rPr>
        <sz val="9"/>
        <color rgb="FF404040"/>
        <rFont val="DejaVu Sans"/>
        <charset val="134"/>
      </rPr>
      <t xml:space="preserve">个推断全部一致，推论一致率 </t>
    </r>
    <r>
      <rPr>
        <sz val="9"/>
        <color rgb="FF404040"/>
        <rFont val="Times New Roman"/>
        <charset val="1"/>
      </rPr>
      <t>100%</t>
    </r>
    <r>
      <rPr>
        <sz val="9"/>
        <color rgb="FF404040"/>
        <rFont val="DejaVu Sans"/>
        <charset val="134"/>
      </rPr>
      <t>。</t>
    </r>
  </si>
  <si>
    <r>
      <rPr>
        <b/>
        <sz val="13"/>
        <rFont val="DejaVu Sans"/>
        <charset val="134"/>
      </rPr>
      <t xml:space="preserve">表 </t>
    </r>
    <r>
      <rPr>
        <b/>
        <sz val="13"/>
        <rFont val="Times New Roman"/>
        <charset val="1"/>
      </rPr>
      <t xml:space="preserve">8  </t>
    </r>
    <r>
      <rPr>
        <b/>
        <sz val="13"/>
        <rFont val="DejaVu Sans"/>
        <charset val="134"/>
      </rPr>
      <t xml:space="preserve">推论的一致性的评估表（原分析方法 </t>
    </r>
    <r>
      <rPr>
        <b/>
        <sz val="13"/>
        <rFont val="Times New Roman"/>
        <charset val="1"/>
      </rPr>
      <t>· ② Claude code·8</t>
    </r>
    <r>
      <rPr>
        <b/>
        <sz val="13"/>
        <rFont val="DejaVu Sans"/>
        <charset val="134"/>
      </rPr>
      <t>社区分支）</t>
    </r>
  </si>
  <si>
    <r>
      <rPr>
        <sz val="9"/>
        <color rgb="FF404040"/>
        <rFont val="DejaVu Sans"/>
        <charset val="134"/>
      </rPr>
      <t>说明：本表为【</t>
    </r>
    <r>
      <rPr>
        <sz val="9"/>
        <color rgb="FF404040"/>
        <rFont val="Times New Roman"/>
        <charset val="1"/>
      </rPr>
      <t>Claude code</t>
    </r>
    <r>
      <rPr>
        <sz val="9"/>
        <color rgb="FF404040"/>
        <rFont val="DejaVu Sans"/>
        <charset val="134"/>
      </rPr>
      <t xml:space="preserve">】单独一份；因 </t>
    </r>
    <r>
      <rPr>
        <sz val="9"/>
        <color rgb="FF404040"/>
        <rFont val="Times New Roman"/>
        <charset val="1"/>
      </rPr>
      <t xml:space="preserve">MANOVA/Box's M </t>
    </r>
    <r>
      <rPr>
        <sz val="9"/>
        <color rgb="FF404040"/>
        <rFont val="DejaVu Sans"/>
        <charset val="134"/>
      </rPr>
      <t>与社区数无关，</t>
    </r>
    <r>
      <rPr>
        <sz val="9"/>
        <color rgb="FF404040"/>
        <rFont val="Times New Roman"/>
        <charset val="1"/>
      </rPr>
      <t xml:space="preserve">p </t>
    </r>
    <r>
      <rPr>
        <sz val="9"/>
        <color rgb="FF404040"/>
        <rFont val="DejaVu Sans"/>
        <charset val="134"/>
      </rPr>
      <t xml:space="preserve">值与本研究一致。推论一致性指原文 </t>
    </r>
    <r>
      <rPr>
        <sz val="9"/>
        <color rgb="FF404040"/>
        <rFont val="Times New Roman"/>
        <charset val="1"/>
      </rPr>
      <t xml:space="preserve">p </t>
    </r>
    <r>
      <rPr>
        <sz val="9"/>
        <color rgb="FF404040"/>
        <rFont val="DejaVu Sans"/>
        <charset val="134"/>
      </rPr>
      <t xml:space="preserve">值与复现 </t>
    </r>
    <r>
      <rPr>
        <sz val="9"/>
        <color rgb="FF404040"/>
        <rFont val="Times New Roman"/>
        <charset val="1"/>
      </rPr>
      <t xml:space="preserve">p </t>
    </r>
    <r>
      <rPr>
        <sz val="9"/>
        <color rgb="FF404040"/>
        <rFont val="DejaVu Sans"/>
        <charset val="134"/>
      </rPr>
      <t xml:space="preserve">值是否落在 </t>
    </r>
    <r>
      <rPr>
        <sz val="9"/>
        <color rgb="FF404040"/>
        <rFont val="Times New Roman"/>
        <charset val="1"/>
      </rPr>
      <t xml:space="preserve">α=0.05 </t>
    </r>
    <r>
      <rPr>
        <sz val="9"/>
        <color rgb="FF404040"/>
        <rFont val="DejaVu Sans"/>
        <charset val="134"/>
      </rPr>
      <t xml:space="preserve">边界同侧。共 </t>
    </r>
    <r>
      <rPr>
        <sz val="9"/>
        <color rgb="FF404040"/>
        <rFont val="Times New Roman"/>
        <charset val="1"/>
      </rPr>
      <t xml:space="preserve">5 </t>
    </r>
    <r>
      <rPr>
        <sz val="9"/>
        <color rgb="FF404040"/>
        <rFont val="DejaVu Sans"/>
        <charset val="134"/>
      </rPr>
      <t>个统计推断。</t>
    </r>
  </si>
  <si>
    <r>
      <rPr>
        <b/>
        <sz val="13"/>
        <rFont val="DejaVu Sans"/>
        <charset val="134"/>
      </rPr>
      <t xml:space="preserve">表 </t>
    </r>
    <r>
      <rPr>
        <b/>
        <sz val="13"/>
        <rFont val="Times New Roman"/>
        <charset val="1"/>
      </rPr>
      <t xml:space="preserve">10  </t>
    </r>
    <r>
      <rPr>
        <b/>
        <sz val="13"/>
        <rFont val="DejaVu Sans"/>
        <charset val="134"/>
      </rPr>
      <t>计算上（不）可复现的原因分析表</t>
    </r>
  </si>
  <si>
    <r>
      <rPr>
        <sz val="9"/>
        <color rgb="FF404040"/>
        <rFont val="DejaVu Sans"/>
        <charset val="134"/>
      </rPr>
      <t>说明：仅列出对本复现适用</t>
    </r>
    <r>
      <rPr>
        <sz val="9"/>
        <color rgb="FF404040"/>
        <rFont val="Times New Roman"/>
        <charset val="1"/>
      </rPr>
      <t>/</t>
    </r>
    <r>
      <rPr>
        <sz val="9"/>
        <color rgb="FF404040"/>
        <rFont val="DejaVu Sans"/>
        <charset val="134"/>
      </rPr>
      <t xml:space="preserve">相关的因素（指南 </t>
    </r>
    <r>
      <rPr>
        <sz val="9"/>
        <color rgb="FF404040"/>
        <rFont val="Times New Roman"/>
        <charset val="1"/>
      </rPr>
      <t xml:space="preserve">21 </t>
    </r>
    <r>
      <rPr>
        <sz val="9"/>
        <color rgb="FF404040"/>
        <rFont val="DejaVu Sans"/>
        <charset val="134"/>
      </rPr>
      <t xml:space="preserve">条预设原因的精简版）。本复现整体高度成功——结果 </t>
    </r>
    <r>
      <rPr>
        <sz val="9"/>
        <color rgb="FF404040"/>
        <rFont val="Times New Roman"/>
        <charset val="1"/>
      </rPr>
      <t xml:space="preserve">100% </t>
    </r>
    <r>
      <rPr>
        <sz val="9"/>
        <color rgb="FF404040"/>
        <rFont val="DejaVu Sans"/>
        <charset val="134"/>
      </rPr>
      <t xml:space="preserve">完全一致、推论 </t>
    </r>
    <r>
      <rPr>
        <sz val="9"/>
        <color rgb="FF404040"/>
        <rFont val="Times New Roman"/>
        <charset val="1"/>
      </rPr>
      <t xml:space="preserve">100% </t>
    </r>
    <r>
      <rPr>
        <sz val="9"/>
        <color rgb="FF404040"/>
        <rFont val="DejaVu Sans"/>
        <charset val="134"/>
      </rPr>
      <t xml:space="preserve">一致；仅社区结构因 </t>
    </r>
    <r>
      <rPr>
        <sz val="9"/>
        <color rgb="FF404040"/>
        <rFont val="Times New Roman"/>
        <charset val="1"/>
      </rPr>
      <t xml:space="preserve">igraph </t>
    </r>
    <r>
      <rPr>
        <sz val="9"/>
        <color rgb="FF404040"/>
        <rFont val="DejaVu Sans"/>
        <charset val="134"/>
      </rPr>
      <t xml:space="preserve">版本出现 </t>
    </r>
    <r>
      <rPr>
        <sz val="9"/>
        <color rgb="FF404040"/>
        <rFont val="Times New Roman"/>
        <charset val="1"/>
      </rPr>
      <t xml:space="preserve">10→8 </t>
    </r>
    <r>
      <rPr>
        <sz val="9"/>
        <color rgb="FF404040"/>
        <rFont val="DejaVu Sans"/>
        <charset val="134"/>
      </rPr>
      <t>的可控差异。</t>
    </r>
  </si>
  <si>
    <t>可能原因（大类）</t>
  </si>
  <si>
    <t>具体原因</t>
  </si>
  <si>
    <r>
      <rPr>
        <b/>
        <sz val="10"/>
        <color rgb="FFFFFFFF"/>
        <rFont val="DejaVu Sans"/>
        <charset val="134"/>
      </rPr>
      <t xml:space="preserve">研究一 </t>
    </r>
    <r>
      <rPr>
        <b/>
        <sz val="10"/>
        <color rgb="FFFFFFFF"/>
        <rFont val="Times New Roman"/>
        <charset val="1"/>
      </rPr>
      <t xml:space="preserve">· </t>
    </r>
    <r>
      <rPr>
        <b/>
        <sz val="10"/>
        <color rgb="FFFFFFFF"/>
        <rFont val="DejaVu Sans"/>
        <charset val="134"/>
      </rPr>
      <t>本研究复现（适用性与说明）</t>
    </r>
  </si>
  <si>
    <t>原文献开放性问题</t>
  </si>
  <si>
    <r>
      <rPr>
        <b/>
        <sz val="10"/>
        <rFont val="DejaVu Sans"/>
        <charset val="134"/>
      </rPr>
      <t>【代码</t>
    </r>
    <r>
      <rPr>
        <b/>
        <sz val="10"/>
        <rFont val="Times New Roman"/>
        <charset val="1"/>
      </rPr>
      <t>·</t>
    </r>
    <r>
      <rPr>
        <b/>
        <sz val="10"/>
        <rFont val="DejaVu Sans"/>
        <charset val="134"/>
      </rPr>
      <t>软件</t>
    </r>
    <r>
      <rPr>
        <b/>
        <sz val="10"/>
        <rFont val="Times New Roman"/>
        <charset val="1"/>
      </rPr>
      <t>/</t>
    </r>
    <r>
      <rPr>
        <b/>
        <sz val="10"/>
        <rFont val="DejaVu Sans"/>
        <charset val="134"/>
      </rPr>
      <t>包版本】软件包或软件版本的问题</t>
    </r>
  </si>
  <si>
    <r>
      <rPr>
        <sz val="10"/>
        <rFont val="DejaVu Sans"/>
        <charset val="134"/>
      </rPr>
      <t xml:space="preserve">★ 适用（关键差异源）：原文用旧版 </t>
    </r>
    <r>
      <rPr>
        <sz val="10"/>
        <rFont val="Times New Roman"/>
        <charset val="1"/>
      </rPr>
      <t>igraph</t>
    </r>
    <r>
      <rPr>
        <sz val="10"/>
        <rFont val="DejaVu Sans"/>
        <charset val="134"/>
      </rPr>
      <t xml:space="preserve">，本复现用 </t>
    </r>
    <r>
      <rPr>
        <sz val="10"/>
        <rFont val="Times New Roman"/>
        <charset val="1"/>
      </rPr>
      <t>igraph 2.3.2</t>
    </r>
    <r>
      <rPr>
        <sz val="10"/>
        <rFont val="DejaVu Sans"/>
        <charset val="134"/>
      </rPr>
      <t>，</t>
    </r>
    <r>
      <rPr>
        <sz val="10"/>
        <rFont val="Times New Roman"/>
        <charset val="1"/>
      </rPr>
      <t xml:space="preserve">walktrap </t>
    </r>
    <r>
      <rPr>
        <sz val="10"/>
        <rFont val="DejaVu Sans"/>
        <charset val="134"/>
      </rPr>
      <t xml:space="preserve">默认社区数由 </t>
    </r>
    <r>
      <rPr>
        <sz val="10"/>
        <rFont val="Times New Roman"/>
        <charset val="1"/>
      </rPr>
      <t xml:space="preserve">10 </t>
    </r>
    <r>
      <rPr>
        <sz val="10"/>
        <rFont val="DejaVu Sans"/>
        <charset val="134"/>
      </rPr>
      <t xml:space="preserve">变 </t>
    </r>
    <r>
      <rPr>
        <sz val="10"/>
        <rFont val="Times New Roman"/>
        <charset val="1"/>
      </rPr>
      <t>8</t>
    </r>
    <r>
      <rPr>
        <sz val="10"/>
        <rFont val="DejaVu Sans"/>
        <charset val="134"/>
      </rPr>
      <t xml:space="preserve">（模块度 </t>
    </r>
    <r>
      <rPr>
        <sz val="10"/>
        <rFont val="Times New Roman"/>
        <charset val="1"/>
      </rPr>
      <t>0.722 &gt; 0.712</t>
    </r>
    <r>
      <rPr>
        <sz val="10"/>
        <rFont val="DejaVu Sans"/>
        <charset val="134"/>
      </rPr>
      <t xml:space="preserve">）；用 </t>
    </r>
    <r>
      <rPr>
        <sz val="10"/>
        <rFont val="Times New Roman"/>
        <charset val="1"/>
      </rPr>
      <t xml:space="preserve">cut_at(no=10) </t>
    </r>
    <r>
      <rPr>
        <sz val="10"/>
        <rFont val="DejaVu Sans"/>
        <charset val="134"/>
      </rPr>
      <t xml:space="preserve">强切回 </t>
    </r>
    <r>
      <rPr>
        <sz val="10"/>
        <rFont val="Times New Roman"/>
        <charset val="1"/>
      </rPr>
      <t xml:space="preserve">10 </t>
    </r>
    <r>
      <rPr>
        <sz val="10"/>
        <rFont val="DejaVu Sans"/>
        <charset val="134"/>
      </rPr>
      <t>后与原文逐一致。这是唯一造成结构差异的因素，已定位、可控。</t>
    </r>
  </si>
  <si>
    <r>
      <rPr>
        <b/>
        <sz val="10"/>
        <rFont val="DejaVu Sans"/>
        <charset val="134"/>
      </rPr>
      <t>【</t>
    </r>
    <r>
      <rPr>
        <b/>
        <sz val="10"/>
        <rFont val="Times New Roman"/>
        <charset val="1"/>
      </rPr>
      <t>OSF·</t>
    </r>
    <r>
      <rPr>
        <b/>
        <sz val="10"/>
        <rFont val="DejaVu Sans"/>
        <charset val="134"/>
      </rPr>
      <t>数据与代码不一致】</t>
    </r>
  </si>
  <si>
    <r>
      <rPr>
        <sz val="10"/>
        <rFont val="DejaVu Sans"/>
        <charset val="134"/>
      </rPr>
      <t xml:space="preserve">适用：分析文件 </t>
    </r>
    <r>
      <rPr>
        <sz val="10"/>
        <rFont val="Times New Roman"/>
        <charset val="1"/>
      </rPr>
      <t xml:space="preserve">Openness Only_ANALYSIS FILE.sav </t>
    </r>
    <r>
      <rPr>
        <sz val="10"/>
        <rFont val="DejaVu Sans"/>
        <charset val="134"/>
      </rPr>
      <t>缺少代码</t>
    </r>
    <r>
      <rPr>
        <sz val="10"/>
        <rFont val="Times New Roman"/>
        <charset val="1"/>
      </rPr>
      <t xml:space="preserve">/SI </t>
    </r>
    <r>
      <rPr>
        <sz val="10"/>
        <rFont val="DejaVu Sans"/>
        <charset val="134"/>
      </rPr>
      <t xml:space="preserve">所需的分组变量 </t>
    </r>
    <r>
      <rPr>
        <sz val="10"/>
        <rFont val="Times New Roman"/>
        <charset val="1"/>
      </rPr>
      <t>Group</t>
    </r>
    <r>
      <rPr>
        <sz val="10"/>
        <rFont val="DejaVu Sans"/>
        <charset val="134"/>
      </rPr>
      <t xml:space="preserve">（仅有无关的 </t>
    </r>
    <r>
      <rPr>
        <sz val="10"/>
        <rFont val="Times New Roman"/>
        <charset val="1"/>
      </rPr>
      <t>DBHTgroup</t>
    </r>
    <r>
      <rPr>
        <sz val="10"/>
        <rFont val="DejaVu Sans"/>
        <charset val="134"/>
      </rPr>
      <t xml:space="preserve">）。用 </t>
    </r>
    <r>
      <rPr>
        <sz val="10"/>
        <rFont val="Times New Roman"/>
        <charset val="1"/>
      </rPr>
      <t xml:space="preserve">138 </t>
    </r>
    <r>
      <rPr>
        <sz val="10"/>
        <rFont val="DejaVu Sans"/>
        <charset val="134"/>
      </rPr>
      <t xml:space="preserve">题响应指纹将 </t>
    </r>
    <r>
      <rPr>
        <sz val="10"/>
        <rFont val="Times New Roman"/>
        <charset val="1"/>
      </rPr>
      <t xml:space="preserve">802 </t>
    </r>
    <r>
      <rPr>
        <sz val="10"/>
        <rFont val="DejaVu Sans"/>
        <charset val="134"/>
      </rPr>
      <t xml:space="preserve">人匹配回三个源文件，重建 </t>
    </r>
    <r>
      <rPr>
        <sz val="10"/>
        <rFont val="Times New Roman"/>
        <charset val="1"/>
      </rPr>
      <t xml:space="preserve">Group=176/108/518 </t>
    </r>
    <r>
      <rPr>
        <sz val="10"/>
        <rFont val="DejaVu Sans"/>
        <charset val="134"/>
      </rPr>
      <t xml:space="preserve">解决（与 </t>
    </r>
    <r>
      <rPr>
        <sz val="10"/>
        <rFont val="Times New Roman"/>
        <charset val="1"/>
      </rPr>
      <t>SI 7</t>
    </r>
    <r>
      <rPr>
        <sz val="10"/>
        <rFont val="DejaVu Sans"/>
        <charset val="134"/>
      </rPr>
      <t>、</t>
    </r>
    <r>
      <rPr>
        <sz val="10"/>
        <rFont val="Times New Roman"/>
        <charset val="1"/>
      </rPr>
      <t xml:space="preserve">Data Cleaning Notes </t>
    </r>
    <r>
      <rPr>
        <sz val="10"/>
        <rFont val="DejaVu Sans"/>
        <charset val="134"/>
      </rPr>
      <t>三方一致）。</t>
    </r>
  </si>
  <si>
    <r>
      <rPr>
        <b/>
        <sz val="10"/>
        <rFont val="DejaVu Sans"/>
        <charset val="134"/>
      </rPr>
      <t>【数据</t>
    </r>
    <r>
      <rPr>
        <b/>
        <sz val="10"/>
        <rFont val="Times New Roman"/>
        <charset val="1"/>
      </rPr>
      <t>·</t>
    </r>
    <r>
      <rPr>
        <b/>
        <sz val="10"/>
        <rFont val="DejaVu Sans"/>
        <charset val="134"/>
      </rPr>
      <t>未提供原始数据】没有提供原始数据</t>
    </r>
  </si>
  <si>
    <r>
      <t xml:space="preserve">适用：仅公开处理后数据，原始数据未公开、原清洗在 </t>
    </r>
    <r>
      <rPr>
        <sz val="10"/>
        <rFont val="Times New Roman"/>
        <charset val="134"/>
      </rPr>
      <t>SPSS</t>
    </r>
    <r>
      <rPr>
        <sz val="10"/>
        <rFont val="DejaVu Sans"/>
        <charset val="134"/>
      </rPr>
      <t>；故合规采用处理后数据。</t>
    </r>
  </si>
  <si>
    <r>
      <rPr>
        <b/>
        <sz val="10"/>
        <rFont val="DejaVu Sans"/>
        <charset val="134"/>
      </rPr>
      <t>【</t>
    </r>
    <r>
      <rPr>
        <b/>
        <sz val="10"/>
        <rFont val="Times New Roman"/>
        <charset val="1"/>
      </rPr>
      <t>OSF·</t>
    </r>
    <r>
      <rPr>
        <b/>
        <sz val="10"/>
        <rFont val="DejaVu Sans"/>
        <charset val="134"/>
      </rPr>
      <t xml:space="preserve">缺 </t>
    </r>
    <r>
      <rPr>
        <b/>
        <sz val="10"/>
        <rFont val="Times New Roman"/>
        <charset val="1"/>
      </rPr>
      <t>readme</t>
    </r>
    <r>
      <rPr>
        <b/>
        <sz val="10"/>
        <rFont val="DejaVu Sans"/>
        <charset val="134"/>
      </rPr>
      <t xml:space="preserve">】缺少 </t>
    </r>
    <r>
      <rPr>
        <b/>
        <sz val="10"/>
        <rFont val="Times New Roman"/>
        <charset val="1"/>
      </rPr>
      <t xml:space="preserve">readme </t>
    </r>
    <r>
      <rPr>
        <b/>
        <sz val="10"/>
        <rFont val="DejaVu Sans"/>
        <charset val="134"/>
      </rPr>
      <t>说明文档</t>
    </r>
  </si>
  <si>
    <r>
      <t>适用：</t>
    </r>
    <r>
      <rPr>
        <sz val="10"/>
        <rFont val="Times New Roman"/>
        <charset val="134"/>
      </rPr>
      <t>OSF</t>
    </r>
    <r>
      <rPr>
        <sz val="10"/>
        <rFont val="DejaVu Sans"/>
        <charset val="134"/>
      </rPr>
      <t>（</t>
    </r>
    <r>
      <rPr>
        <sz val="10"/>
        <rFont val="Times New Roman"/>
        <charset val="134"/>
      </rPr>
      <t>osf.io/954a7</t>
    </r>
    <r>
      <rPr>
        <sz val="10"/>
        <rFont val="DejaVu Sans"/>
        <charset val="134"/>
      </rPr>
      <t xml:space="preserve">）未见 </t>
    </r>
    <r>
      <rPr>
        <sz val="10"/>
        <rFont val="Times New Roman"/>
        <charset val="134"/>
      </rPr>
      <t xml:space="preserve">readme </t>
    </r>
    <r>
      <rPr>
        <sz val="10"/>
        <rFont val="DejaVu Sans"/>
        <charset val="134"/>
      </rPr>
      <t>说明文档，增加了理解数据</t>
    </r>
    <r>
      <rPr>
        <sz val="10"/>
        <rFont val="Times New Roman"/>
        <charset val="134"/>
      </rPr>
      <t>/</t>
    </r>
    <r>
      <rPr>
        <sz val="10"/>
        <rFont val="DejaVu Sans"/>
        <charset val="134"/>
      </rPr>
      <t>代码对应关系的成本。</t>
    </r>
  </si>
  <si>
    <t>重复过程的原因</t>
  </si>
  <si>
    <t>【是否使用同样的软件包】</t>
  </si>
  <si>
    <r>
      <rPr>
        <sz val="10"/>
        <rFont val="DejaVu Sans"/>
        <charset val="134"/>
      </rPr>
      <t>适用（差异源）：</t>
    </r>
    <r>
      <rPr>
        <sz val="10"/>
        <rFont val="Times New Roman"/>
        <charset val="1"/>
      </rPr>
      <t xml:space="preserve">R </t>
    </r>
    <r>
      <rPr>
        <sz val="10"/>
        <rFont val="DejaVu Sans"/>
        <charset val="134"/>
      </rPr>
      <t xml:space="preserve">与软件包相同，但 </t>
    </r>
    <r>
      <rPr>
        <sz val="10"/>
        <rFont val="Times New Roman"/>
        <charset val="1"/>
      </rPr>
      <t xml:space="preserve">igraph </t>
    </r>
    <r>
      <rPr>
        <sz val="10"/>
        <rFont val="DejaVu Sans"/>
        <charset val="134"/>
      </rPr>
      <t>版本不同（见上）。注：数据集相同、分析方法相同（</t>
    </r>
    <r>
      <rPr>
        <sz val="10"/>
        <rFont val="Times New Roman"/>
        <charset val="1"/>
      </rPr>
      <t>TMFG+walktrap+MANOVA</t>
    </r>
    <r>
      <rPr>
        <sz val="10"/>
        <rFont val="DejaVu Sans"/>
        <charset val="134"/>
      </rPr>
      <t>），二者已排除为差异源。</t>
    </r>
  </si>
  <si>
    <r>
      <rPr>
        <b/>
        <sz val="10"/>
        <rFont val="DejaVu Sans"/>
        <charset val="134"/>
      </rPr>
      <t>【复现者相关因素】</t>
    </r>
    <r>
      <rPr>
        <b/>
        <sz val="10"/>
        <rFont val="Times New Roman"/>
        <charset val="1"/>
      </rPr>
      <t xml:space="preserve">R </t>
    </r>
    <r>
      <rPr>
        <b/>
        <sz val="10"/>
        <rFont val="DejaVu Sans"/>
        <charset val="134"/>
      </rPr>
      <t>经验与知识漏洞</t>
    </r>
  </si>
  <si>
    <r>
      <rPr>
        <sz val="10"/>
        <rFont val="DejaVu Sans"/>
        <charset val="134"/>
      </rPr>
      <t xml:space="preserve">说明：复现者有一定 </t>
    </r>
    <r>
      <rPr>
        <sz val="10"/>
        <rFont val="Times New Roman"/>
        <charset val="1"/>
      </rPr>
      <t xml:space="preserve">R </t>
    </r>
    <r>
      <rPr>
        <sz val="10"/>
        <rFont val="DejaVu Sans"/>
        <charset val="134"/>
      </rPr>
      <t>经验、原代码基本看得懂；个别操作（</t>
    </r>
    <r>
      <rPr>
        <sz val="10"/>
        <rFont val="Times New Roman"/>
        <charset val="1"/>
      </rPr>
      <t xml:space="preserve">walktrap </t>
    </r>
    <r>
      <rPr>
        <sz val="10"/>
        <rFont val="DejaVu Sans"/>
        <charset val="134"/>
      </rPr>
      <t>社区编号映射、</t>
    </r>
    <r>
      <rPr>
        <sz val="10"/>
        <rFont val="Times New Roman"/>
        <charset val="1"/>
      </rPr>
      <t xml:space="preserve">TMFG </t>
    </r>
    <r>
      <rPr>
        <sz val="10"/>
        <rFont val="DejaVu Sans"/>
        <charset val="134"/>
      </rPr>
      <t xml:space="preserve">技术细节）借助 </t>
    </r>
    <r>
      <rPr>
        <sz val="10"/>
        <rFont val="Times New Roman"/>
        <charset val="1"/>
      </rPr>
      <t>AI/</t>
    </r>
    <r>
      <rPr>
        <sz val="10"/>
        <rFont val="DejaVu Sans"/>
        <charset val="134"/>
      </rPr>
      <t>查资料理解。</t>
    </r>
  </si>
  <si>
    <t>其他影响因素</t>
  </si>
  <si>
    <r>
      <rPr>
        <b/>
        <sz val="10"/>
        <rFont val="DejaVu Sans"/>
        <charset val="134"/>
      </rPr>
      <t>【文献年份】是否久远</t>
    </r>
    <r>
      <rPr>
        <b/>
        <sz val="10"/>
        <rFont val="Times New Roman"/>
        <charset val="1"/>
      </rPr>
      <t>/</t>
    </r>
    <r>
      <rPr>
        <b/>
        <sz val="10"/>
        <rFont val="DejaVu Sans"/>
        <charset val="134"/>
      </rPr>
      <t>开放科学之前</t>
    </r>
  </si>
  <si>
    <r>
      <rPr>
        <sz val="10"/>
        <rFont val="DejaVu Sans"/>
        <charset val="134"/>
      </rPr>
      <t>非障碍：</t>
    </r>
    <r>
      <rPr>
        <sz val="10"/>
        <rFont val="Times New Roman"/>
        <charset val="1"/>
      </rPr>
      <t xml:space="preserve">2019 </t>
    </r>
    <r>
      <rPr>
        <sz val="10"/>
        <rFont val="DejaVu Sans"/>
        <charset val="134"/>
      </rPr>
      <t xml:space="preserve">年发表，处于开放科学运动之后，且提供 </t>
    </r>
    <r>
      <rPr>
        <sz val="10"/>
        <rFont val="Times New Roman"/>
        <charset val="1"/>
      </rPr>
      <t xml:space="preserve">OSF </t>
    </r>
    <r>
      <rPr>
        <sz val="10"/>
        <rFont val="DejaVu Sans"/>
        <charset val="134"/>
      </rPr>
      <t>数据与代码，整体利于复现。</t>
    </r>
  </si>
  <si>
    <r>
      <rPr>
        <b/>
        <sz val="10"/>
        <rFont val="DejaVu Sans"/>
        <charset val="134"/>
      </rPr>
      <t>【文献质量】引用量</t>
    </r>
    <r>
      <rPr>
        <b/>
        <sz val="10"/>
        <rFont val="Times New Roman"/>
        <charset val="1"/>
      </rPr>
      <t>/</t>
    </r>
    <r>
      <rPr>
        <b/>
        <sz val="10"/>
        <rFont val="DejaVu Sans"/>
        <charset val="134"/>
      </rPr>
      <t>他人支持</t>
    </r>
    <r>
      <rPr>
        <b/>
        <sz val="10"/>
        <rFont val="Times New Roman"/>
        <charset val="1"/>
      </rPr>
      <t>/</t>
    </r>
    <r>
      <rPr>
        <b/>
        <sz val="10"/>
        <rFont val="DejaVu Sans"/>
        <charset val="134"/>
      </rPr>
      <t>他人重复</t>
    </r>
  </si>
  <si>
    <r>
      <rPr>
        <sz val="10"/>
        <rFont val="DejaVu Sans"/>
        <charset val="134"/>
      </rPr>
      <t xml:space="preserve">引用量 </t>
    </r>
    <r>
      <rPr>
        <sz val="10"/>
        <rFont val="Times New Roman"/>
        <charset val="1"/>
      </rPr>
      <t>239</t>
    </r>
    <r>
      <rPr>
        <sz val="10"/>
        <rFont val="DejaVu Sans"/>
        <charset val="134"/>
      </rPr>
      <t>（</t>
    </r>
    <r>
      <rPr>
        <sz val="10"/>
        <rFont val="Times New Roman"/>
        <charset val="1"/>
      </rPr>
      <t>Google Scholar</t>
    </r>
    <r>
      <rPr>
        <sz val="10"/>
        <rFont val="DejaVu Sans"/>
        <charset val="134"/>
      </rPr>
      <t>，</t>
    </r>
    <r>
      <rPr>
        <sz val="10"/>
        <rFont val="Times New Roman"/>
        <charset val="1"/>
      </rPr>
      <t xml:space="preserve">2026-06 </t>
    </r>
    <r>
      <rPr>
        <sz val="10"/>
        <rFont val="DejaVu Sans"/>
        <charset val="134"/>
      </rPr>
      <t>核实）；开放性多维结构有大量文献支持，原文亦称结果「</t>
    </r>
    <r>
      <rPr>
        <sz val="10"/>
        <rFont val="Times New Roman"/>
        <charset val="1"/>
      </rPr>
      <t>largely replicate previous findings</t>
    </r>
    <r>
      <rPr>
        <sz val="10"/>
        <rFont val="DejaVu Sans"/>
        <charset val="134"/>
      </rPr>
      <t>」；未发现公开的独立计算可复现性复制记录。</t>
    </r>
  </si>
  <si>
    <r>
      <rPr>
        <sz val="9"/>
        <color rgb="FF404040"/>
        <rFont val="DejaVu Sans"/>
        <charset val="134"/>
      </rPr>
      <t>注：黄色高亮为本复现唯一造成结构差异、且已定位根因的因素（</t>
    </r>
    <r>
      <rPr>
        <sz val="9"/>
        <color rgb="FF404040"/>
        <rFont val="Times New Roman"/>
        <charset val="1"/>
      </rPr>
      <t xml:space="preserve">igraph </t>
    </r>
    <r>
      <rPr>
        <sz val="9"/>
        <color rgb="FF404040"/>
        <rFont val="DejaVu Sans"/>
        <charset val="134"/>
      </rPr>
      <t>版本漂移）。其余适用项为原文献数据</t>
    </r>
    <r>
      <rPr>
        <sz val="9"/>
        <color rgb="FF404040"/>
        <rFont val="Times New Roman"/>
        <charset val="1"/>
      </rPr>
      <t>/</t>
    </r>
    <r>
      <rPr>
        <sz val="9"/>
        <color rgb="FF404040"/>
        <rFont val="DejaVu Sans"/>
        <charset val="134"/>
      </rPr>
      <t>代码开放性的不足，复现中均已通过指纹重建等手段解决，未影响最终定量结果。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</si>
</sst>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%"/>
    <numFmt numFmtId="177" formatCode="0.000"/>
    <numFmt numFmtId="178" formatCode="0.0000"/>
  </numFmts>
  <fonts count="43">
    <font>
      <sz val="11"/>
      <color theme="1"/>
      <name val="Calibri"/>
      <charset val="1"/>
    </font>
    <font>
      <b/>
      <sz val="13"/>
      <name val="DejaVu Sans"/>
      <charset val="134"/>
    </font>
    <font>
      <sz val="9"/>
      <color rgb="FF404040"/>
      <name val="DejaVu Sans"/>
      <charset val="134"/>
    </font>
    <font>
      <b/>
      <sz val="10"/>
      <color rgb="FFFFFFFF"/>
      <name val="DejaVu Sans"/>
      <charset val="134"/>
    </font>
    <font>
      <b/>
      <sz val="10"/>
      <name val="DejaVu Sans"/>
      <charset val="134"/>
    </font>
    <font>
      <sz val="10"/>
      <name val="DejaVu Sans"/>
      <charset val="134"/>
    </font>
    <font>
      <sz val="10"/>
      <name val="Times New Roman"/>
      <charset val="1"/>
    </font>
    <font>
      <b/>
      <sz val="10"/>
      <name val="Times New Roman"/>
      <charset val="1"/>
    </font>
    <font>
      <b/>
      <sz val="9"/>
      <color rgb="FF000000"/>
      <name val="DejaVu Sans"/>
      <charset val="134"/>
    </font>
    <font>
      <sz val="9"/>
      <color rgb="FF404040"/>
      <name val="Times New Roman"/>
      <charset val="1"/>
    </font>
    <font>
      <b/>
      <sz val="10"/>
      <color rgb="FFFFFFFF"/>
      <name val="Times New Roman"/>
      <charset val="1"/>
    </font>
    <font>
      <b/>
      <sz val="9"/>
      <color rgb="FFFFFFFF"/>
      <name val="DejaVu Sans"/>
      <charset val="134"/>
    </font>
    <font>
      <sz val="10"/>
      <name val="DejaVu Sans"/>
      <charset val="1"/>
    </font>
    <font>
      <i/>
      <sz val="9"/>
      <color rgb="FF595959"/>
      <name val="DejaVu Sans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color rgb="FFFFFFFF"/>
      <name val="DejaVu Sans"/>
      <charset val="1"/>
    </font>
    <font>
      <sz val="9"/>
      <color rgb="FF404040"/>
      <name val="DejaVu Sans"/>
      <charset val="1"/>
    </font>
    <font>
      <b/>
      <sz val="10"/>
      <color rgb="FFFFFFFF"/>
      <name val="DejaVu Sans"/>
      <charset val="1"/>
    </font>
    <font>
      <b/>
      <sz val="13"/>
      <name val="DejaVu Sans"/>
      <charset val="1"/>
    </font>
    <font>
      <b/>
      <sz val="13"/>
      <name val="Times New Roman"/>
      <charset val="1"/>
    </font>
    <font>
      <sz val="10"/>
      <name val="Times New Roman"/>
      <charset val="134"/>
    </font>
    <font>
      <i/>
      <sz val="9"/>
      <color rgb="FF595959"/>
      <name val="DejaVu Sans"/>
      <charset val="1"/>
    </font>
    <font>
      <b/>
      <sz val="10"/>
      <name val="DejaVu Sans"/>
      <charset val="1"/>
    </font>
  </fonts>
  <fills count="47">
    <fill>
      <patternFill patternType="none"/>
    </fill>
    <fill>
      <patternFill patternType="gray125"/>
    </fill>
    <fill>
      <patternFill patternType="solid">
        <fgColor rgb="FF4472C4"/>
        <bgColor rgb="FF2F5496"/>
      </patternFill>
    </fill>
    <fill>
      <patternFill patternType="solid">
        <fgColor rgb="FFDDEBF7"/>
        <bgColor rgb="FFDEEBF7"/>
      </patternFill>
    </fill>
    <fill>
      <patternFill patternType="solid">
        <fgColor rgb="FFFFE699"/>
        <bgColor rgb="FFFFF2CC"/>
      </patternFill>
    </fill>
    <fill>
      <patternFill patternType="solid">
        <fgColor rgb="FFC6EFCE"/>
        <bgColor rgb="FFE2EFDA"/>
      </patternFill>
    </fill>
    <fill>
      <patternFill patternType="solid">
        <fgColor rgb="FFF2F2F2"/>
        <bgColor rgb="FFEDEDED"/>
      </patternFill>
    </fill>
    <fill>
      <patternFill patternType="solid">
        <fgColor rgb="FFD9E1F2"/>
        <bgColor rgb="FFDDEBF7"/>
      </patternFill>
    </fill>
    <fill>
      <patternFill patternType="solid">
        <fgColor rgb="FF2F5496"/>
        <bgColor rgb="FF4472C4"/>
      </patternFill>
    </fill>
    <fill>
      <patternFill patternType="solid">
        <fgColor rgb="FF843C0C"/>
        <bgColor rgb="FF993366"/>
      </patternFill>
    </fill>
    <fill>
      <patternFill patternType="solid">
        <fgColor rgb="FFA6612A"/>
        <bgColor rgb="FF843C0C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DEDED"/>
      </patternFill>
    </fill>
    <fill>
      <patternFill patternType="solid">
        <fgColor rgb="FFDEEBF7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EDEDED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 applyBorder="0" applyAlignment="0" applyProtection="0"/>
    <xf numFmtId="44" fontId="14" fillId="0" borderId="0" applyBorder="0" applyAlignment="0" applyProtection="0"/>
    <xf numFmtId="9" fontId="14" fillId="0" borderId="0" applyBorder="0" applyAlignment="0" applyProtection="0"/>
    <xf numFmtId="41" fontId="14" fillId="0" borderId="0" applyBorder="0" applyAlignment="0" applyProtection="0"/>
    <xf numFmtId="42" fontId="14" fillId="0" borderId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6" borderId="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7" borderId="5" applyNumberFormat="0" applyAlignment="0" applyProtection="0">
      <alignment vertical="center"/>
    </xf>
    <xf numFmtId="0" fontId="25" fillId="18" borderId="6" applyNumberFormat="0" applyAlignment="0" applyProtection="0">
      <alignment vertical="center"/>
    </xf>
    <xf numFmtId="0" fontId="26" fillId="18" borderId="5" applyNumberFormat="0" applyAlignment="0" applyProtection="0">
      <alignment vertical="center"/>
    </xf>
    <xf numFmtId="0" fontId="27" fillId="19" borderId="7" applyNumberFormat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</cellStyleXfs>
  <cellXfs count="56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176" fontId="6" fillId="5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176" fontId="6" fillId="6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176" fontId="7" fillId="7" borderId="1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Font="1" applyBorder="1" applyAlignment="1"/>
    <xf numFmtId="0" fontId="3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 wrapText="1"/>
    </xf>
    <xf numFmtId="2" fontId="6" fillId="11" borderId="1" xfId="0" applyNumberFormat="1" applyFont="1" applyFill="1" applyBorder="1" applyAlignment="1">
      <alignment horizontal="center" vertical="center" wrapText="1"/>
    </xf>
    <xf numFmtId="177" fontId="6" fillId="11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center" vertical="center" wrapText="1"/>
    </xf>
    <xf numFmtId="178" fontId="6" fillId="12" borderId="1" xfId="0" applyNumberFormat="1" applyFont="1" applyFill="1" applyBorder="1" applyAlignment="1">
      <alignment horizontal="center" vertical="center" wrapText="1"/>
    </xf>
    <xf numFmtId="1" fontId="6" fillId="12" borderId="1" xfId="0" applyNumberFormat="1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center" vertical="center" wrapText="1"/>
    </xf>
    <xf numFmtId="178" fontId="6" fillId="13" borderId="1" xfId="0" applyNumberFormat="1" applyFont="1" applyFill="1" applyBorder="1" applyAlignment="1">
      <alignment horizontal="center" vertical="center" wrapText="1"/>
    </xf>
    <xf numFmtId="1" fontId="6" fillId="13" borderId="1" xfId="0" applyNumberFormat="1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center" vertical="center" wrapText="1"/>
    </xf>
    <xf numFmtId="10" fontId="6" fillId="14" borderId="1" xfId="0" applyNumberFormat="1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A6612A"/>
      <rgbColor rgb="00800080"/>
      <rgbColor rgb="00008080"/>
      <rgbColor rgb="00BFBFBF"/>
      <rgbColor rgb="00808080"/>
      <rgbColor rgb="009999FF"/>
      <rgbColor rgb="00993366"/>
      <rgbColor rgb="00FFF2CC"/>
      <rgbColor rgb="00DDEBF7"/>
      <rgbColor rgb="00660066"/>
      <rgbColor rgb="00FF8080"/>
      <rgbColor rgb="000066CC"/>
      <rgbColor rgb="00D9E1F2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BF7"/>
      <rgbColor rgb="00C6EFCE"/>
      <rgbColor rgb="00FFE699"/>
      <rgbColor rgb="00E2EFDA"/>
      <rgbColor rgb="00EDEDED"/>
      <rgbColor rgb="00F2F2F2"/>
      <rgbColor rgb="00FCE4D6"/>
      <rgbColor rgb="004472C4"/>
      <rgbColor rgb="0033CCCC"/>
      <rgbColor rgb="0099CC00"/>
      <rgbColor rgb="00FFCC00"/>
      <rgbColor rgb="00FF9900"/>
      <rgbColor rgb="00FF6600"/>
      <rgbColor rgb="00595959"/>
      <rgbColor rgb="00969696"/>
      <rgbColor rgb="00003366"/>
      <rgbColor rgb="00339966"/>
      <rgbColor rgb="00003300"/>
      <rgbColor rgb="00333300"/>
      <rgbColor rgb="00843C0C"/>
      <rgbColor rgb="00993366"/>
      <rgbColor rgb="002F5496"/>
      <rgbColor rgb="00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A1" sqref="A1:G1"/>
    </sheetView>
  </sheetViews>
  <sheetFormatPr defaultColWidth="8.68141592920354" defaultRowHeight="14.25" outlineLevelCol="6"/>
  <cols>
    <col min="1" max="1" width="18" customWidth="1"/>
    <col min="2" max="2" width="16" customWidth="1"/>
    <col min="6" max="6" width="20" customWidth="1"/>
  </cols>
  <sheetData>
    <row r="1" ht="15.75" customHeight="1" spans="1:7">
      <c r="A1" s="1" t="s">
        <v>0</v>
      </c>
      <c r="B1" s="1"/>
      <c r="C1" s="1"/>
      <c r="D1" s="1"/>
      <c r="E1" s="1"/>
      <c r="F1" s="1"/>
      <c r="G1" s="1"/>
    </row>
    <row r="2" ht="42" customHeight="1" spans="1:7">
      <c r="A2" s="49" t="s">
        <v>1</v>
      </c>
      <c r="B2" s="49"/>
      <c r="C2" s="49"/>
      <c r="D2" s="49"/>
      <c r="E2" s="49"/>
      <c r="F2" s="49"/>
      <c r="G2" s="49"/>
    </row>
    <row r="3" ht="33.75" customHeight="1" spans="1: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15" customHeight="1" spans="1:7">
      <c r="A4" s="8" t="s">
        <v>9</v>
      </c>
      <c r="B4" s="50">
        <v>802</v>
      </c>
      <c r="C4" s="50">
        <v>176</v>
      </c>
      <c r="D4" s="50">
        <v>108</v>
      </c>
      <c r="E4" s="50">
        <v>518</v>
      </c>
      <c r="F4" s="51" t="s">
        <v>10</v>
      </c>
      <c r="G4" s="51" t="s">
        <v>10</v>
      </c>
    </row>
    <row r="5" ht="23.25" customHeight="1" spans="1:7">
      <c r="A5" s="8" t="s">
        <v>11</v>
      </c>
      <c r="B5" s="51">
        <v>802</v>
      </c>
      <c r="C5" s="51">
        <v>176</v>
      </c>
      <c r="D5" s="51">
        <v>108</v>
      </c>
      <c r="E5" s="51">
        <v>518</v>
      </c>
      <c r="F5" s="51" t="s">
        <v>12</v>
      </c>
      <c r="G5" s="51" t="s">
        <v>12</v>
      </c>
    </row>
    <row r="6" ht="15" customHeight="1" spans="1:7">
      <c r="A6" s="52" t="s">
        <v>13</v>
      </c>
      <c r="B6" s="53">
        <f>ABS(B4-B5)/ABS(B4)</f>
        <v>0</v>
      </c>
      <c r="C6" s="53">
        <f>ABS(C4-C5)/ABS(C4)</f>
        <v>0</v>
      </c>
      <c r="D6" s="53">
        <f>ABS(D4-D5)/ABS(D4)</f>
        <v>0</v>
      </c>
      <c r="E6" s="53">
        <f>ABS(E4-E5)/ABS(E4)</f>
        <v>0</v>
      </c>
      <c r="F6" s="13" t="s">
        <v>14</v>
      </c>
      <c r="G6" s="13" t="s">
        <v>14</v>
      </c>
    </row>
    <row r="7" ht="15" customHeight="1" spans="1:7">
      <c r="A7" s="8" t="s">
        <v>15</v>
      </c>
      <c r="B7" s="54" t="s">
        <v>16</v>
      </c>
      <c r="C7" s="54" t="s">
        <v>16</v>
      </c>
      <c r="D7" s="54" t="s">
        <v>16</v>
      </c>
      <c r="E7" s="54" t="s">
        <v>16</v>
      </c>
      <c r="F7" s="55" t="s">
        <v>17</v>
      </c>
      <c r="G7" s="55" t="s">
        <v>17</v>
      </c>
    </row>
    <row r="9" ht="15" customHeight="1" spans="1:7">
      <c r="A9" s="47"/>
      <c r="B9" s="47"/>
      <c r="C9" s="47"/>
      <c r="D9" s="47"/>
      <c r="E9" s="47"/>
      <c r="F9" s="47"/>
      <c r="G9" s="47"/>
    </row>
    <row r="10" ht="15" customHeight="1" spans="1:7">
      <c r="A10" s="48" t="s">
        <v>18</v>
      </c>
      <c r="B10" s="48"/>
      <c r="C10" s="48"/>
      <c r="D10" s="48"/>
      <c r="E10" s="48"/>
      <c r="F10" s="48"/>
      <c r="G10" s="48"/>
    </row>
    <row r="11" ht="15" customHeight="1" spans="1:7">
      <c r="A11" s="2" t="s">
        <v>19</v>
      </c>
      <c r="B11" s="2"/>
      <c r="C11" s="2"/>
      <c r="D11" s="2"/>
      <c r="E11" s="2"/>
      <c r="F11" s="2"/>
      <c r="G11" s="2"/>
    </row>
    <row r="12" ht="15" customHeight="1" spans="1:7">
      <c r="A12" s="2" t="s">
        <v>20</v>
      </c>
      <c r="B12" s="2"/>
      <c r="C12" s="2"/>
      <c r="D12" s="2"/>
      <c r="E12" s="2"/>
      <c r="F12" s="2"/>
      <c r="G12" s="2"/>
    </row>
    <row r="13" ht="15" customHeight="1" spans="1:7">
      <c r="A13" s="47" t="s">
        <v>21</v>
      </c>
      <c r="B13" s="47"/>
      <c r="C13" s="47"/>
      <c r="D13" s="47"/>
      <c r="E13" s="47"/>
      <c r="F13" s="47"/>
      <c r="G13" s="47"/>
    </row>
    <row r="14" ht="15" customHeight="1" spans="1:7">
      <c r="A14" s="47" t="s">
        <v>22</v>
      </c>
      <c r="B14" s="47"/>
      <c r="C14" s="47"/>
      <c r="D14" s="47"/>
      <c r="E14" s="47"/>
      <c r="F14" s="47"/>
      <c r="G14" s="47"/>
    </row>
  </sheetData>
  <mergeCells count="8">
    <mergeCell ref="A1:G1"/>
    <mergeCell ref="A2:G2"/>
    <mergeCell ref="A9:G9"/>
    <mergeCell ref="A10:G10"/>
    <mergeCell ref="A11:G11"/>
    <mergeCell ref="A12:G12"/>
    <mergeCell ref="A13:G13"/>
    <mergeCell ref="A14:G1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"/>
  <sheetViews>
    <sheetView workbookViewId="0">
      <pane xSplit="1" ySplit="4" topLeftCell="B5" activePane="bottomRight" state="frozen"/>
      <selection/>
      <selection pane="topRight"/>
      <selection pane="bottomLeft"/>
      <selection pane="bottomRight" activeCell="A1" sqref="A1:U1"/>
    </sheetView>
  </sheetViews>
  <sheetFormatPr defaultColWidth="8.68141592920354" defaultRowHeight="14.25"/>
  <cols>
    <col min="1" max="1" width="24" customWidth="1"/>
    <col min="2" max="2" width="11" customWidth="1"/>
    <col min="5" max="5" width="10" customWidth="1"/>
    <col min="6" max="6" width="11" customWidth="1"/>
    <col min="9" max="9" width="10" customWidth="1"/>
    <col min="10" max="10" width="11" customWidth="1"/>
    <col min="13" max="13" width="10" customWidth="1"/>
    <col min="14" max="14" width="11" customWidth="1"/>
    <col min="17" max="17" width="10" customWidth="1"/>
    <col min="18" max="18" width="11" customWidth="1"/>
    <col min="21" max="21" width="10" customWidth="1"/>
  </cols>
  <sheetData>
    <row r="1" ht="15.75" customHeight="1" spans="1:21">
      <c r="A1" s="21" t="s">
        <v>23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2" ht="39.75" customHeight="1" spans="1:21">
      <c r="A2" s="22" t="s">
        <v>24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</row>
    <row r="3" ht="24" customHeight="1" spans="1:21">
      <c r="A3" s="23"/>
      <c r="B3" s="24" t="s">
        <v>25</v>
      </c>
      <c r="C3" s="24"/>
      <c r="D3" s="24"/>
      <c r="E3" s="24"/>
      <c r="F3" s="25" t="s">
        <v>26</v>
      </c>
      <c r="G3" s="25"/>
      <c r="H3" s="25"/>
      <c r="I3" s="25"/>
      <c r="J3" s="25" t="s">
        <v>27</v>
      </c>
      <c r="K3" s="25"/>
      <c r="L3" s="25"/>
      <c r="M3" s="25"/>
      <c r="N3" s="25" t="s">
        <v>28</v>
      </c>
      <c r="O3" s="25"/>
      <c r="P3" s="25"/>
      <c r="Q3" s="25"/>
      <c r="R3" s="26" t="s">
        <v>29</v>
      </c>
      <c r="S3" s="26"/>
      <c r="T3" s="26"/>
      <c r="U3" s="26"/>
    </row>
    <row r="4" ht="30" customHeight="1" spans="1:21">
      <c r="A4" s="23"/>
      <c r="B4" s="27" t="s">
        <v>30</v>
      </c>
      <c r="C4" s="27" t="s">
        <v>31</v>
      </c>
      <c r="D4" s="27" t="s">
        <v>32</v>
      </c>
      <c r="E4" s="27" t="s">
        <v>33</v>
      </c>
      <c r="F4" s="27" t="s">
        <v>30</v>
      </c>
      <c r="G4" s="27" t="s">
        <v>31</v>
      </c>
      <c r="H4" s="27" t="s">
        <v>32</v>
      </c>
      <c r="I4" s="27" t="s">
        <v>33</v>
      </c>
      <c r="J4" s="27" t="s">
        <v>30</v>
      </c>
      <c r="K4" s="27" t="s">
        <v>31</v>
      </c>
      <c r="L4" s="27" t="s">
        <v>32</v>
      </c>
      <c r="M4" s="27" t="s">
        <v>33</v>
      </c>
      <c r="N4" s="27" t="s">
        <v>30</v>
      </c>
      <c r="O4" s="27" t="s">
        <v>31</v>
      </c>
      <c r="P4" s="27" t="s">
        <v>32</v>
      </c>
      <c r="Q4" s="27" t="s">
        <v>33</v>
      </c>
      <c r="R4" s="28" t="s">
        <v>30</v>
      </c>
      <c r="S4" s="28" t="s">
        <v>34</v>
      </c>
      <c r="T4" s="28" t="s">
        <v>35</v>
      </c>
      <c r="U4" s="28" t="s">
        <v>33</v>
      </c>
    </row>
    <row r="5" ht="15" customHeight="1" spans="1:21">
      <c r="A5" s="29" t="s">
        <v>36</v>
      </c>
      <c r="B5" s="30">
        <v>802</v>
      </c>
      <c r="C5" s="31">
        <v>4.43</v>
      </c>
      <c r="D5" s="32">
        <v>0.96</v>
      </c>
      <c r="E5" s="30" t="s">
        <v>37</v>
      </c>
      <c r="F5" s="30">
        <v>284</v>
      </c>
      <c r="G5" s="31">
        <v>1.95</v>
      </c>
      <c r="H5" s="32">
        <v>0.65</v>
      </c>
      <c r="I5" s="30" t="s">
        <v>37</v>
      </c>
      <c r="J5" s="30">
        <v>694</v>
      </c>
      <c r="K5" s="31">
        <v>8.34</v>
      </c>
      <c r="L5" s="32">
        <v>0.675</v>
      </c>
      <c r="M5" s="30" t="s">
        <v>37</v>
      </c>
      <c r="N5" s="30">
        <v>626</v>
      </c>
      <c r="O5" s="31">
        <v>5.62</v>
      </c>
      <c r="P5" s="32">
        <v>0.614</v>
      </c>
      <c r="Q5" s="30" t="s">
        <v>37</v>
      </c>
      <c r="R5" s="30">
        <v>694</v>
      </c>
      <c r="S5" s="32">
        <v>1.292</v>
      </c>
      <c r="T5" s="30" t="s">
        <v>14</v>
      </c>
      <c r="U5" s="30" t="s">
        <v>37</v>
      </c>
    </row>
    <row r="6" ht="15" customHeight="1" spans="1:21">
      <c r="A6" s="33" t="s">
        <v>38</v>
      </c>
      <c r="B6" s="34">
        <v>802</v>
      </c>
      <c r="C6" s="35">
        <v>4.4308</v>
      </c>
      <c r="D6" s="35">
        <v>0.9596</v>
      </c>
      <c r="E6" s="34" t="s">
        <v>37</v>
      </c>
      <c r="F6" s="34">
        <v>284</v>
      </c>
      <c r="G6" s="35">
        <v>1.9516</v>
      </c>
      <c r="H6" s="35">
        <v>0.65</v>
      </c>
      <c r="I6" s="34" t="s">
        <v>37</v>
      </c>
      <c r="J6" s="34">
        <v>694</v>
      </c>
      <c r="K6" s="35">
        <v>8.3412</v>
      </c>
      <c r="L6" s="35">
        <v>0.6747</v>
      </c>
      <c r="M6" s="34" t="s">
        <v>37</v>
      </c>
      <c r="N6" s="34">
        <v>626</v>
      </c>
      <c r="O6" s="35">
        <v>5.6191</v>
      </c>
      <c r="P6" s="35">
        <v>0.6142</v>
      </c>
      <c r="Q6" s="34" t="s">
        <v>37</v>
      </c>
      <c r="R6" s="34">
        <v>694</v>
      </c>
      <c r="S6" s="36" t="s">
        <v>39</v>
      </c>
      <c r="T6" s="34" t="s">
        <v>14</v>
      </c>
      <c r="U6" s="34" t="s">
        <v>37</v>
      </c>
    </row>
    <row r="7" ht="15" customHeight="1" spans="1:21">
      <c r="A7" s="37" t="s">
        <v>40</v>
      </c>
      <c r="B7" s="38">
        <v>802</v>
      </c>
      <c r="C7" s="39">
        <v>4.4308</v>
      </c>
      <c r="D7" s="39">
        <v>0.9596</v>
      </c>
      <c r="E7" s="38" t="s">
        <v>37</v>
      </c>
      <c r="F7" s="38">
        <v>284</v>
      </c>
      <c r="G7" s="39">
        <v>1.9516</v>
      </c>
      <c r="H7" s="39">
        <v>0.65</v>
      </c>
      <c r="I7" s="38" t="s">
        <v>37</v>
      </c>
      <c r="J7" s="38">
        <v>694</v>
      </c>
      <c r="K7" s="39">
        <v>8.3412</v>
      </c>
      <c r="L7" s="39">
        <v>0.6747</v>
      </c>
      <c r="M7" s="38" t="s">
        <v>37</v>
      </c>
      <c r="N7" s="38">
        <v>626</v>
      </c>
      <c r="O7" s="39">
        <v>5.6191</v>
      </c>
      <c r="P7" s="39">
        <v>0.6142</v>
      </c>
      <c r="Q7" s="38" t="s">
        <v>37</v>
      </c>
      <c r="R7" s="38">
        <v>694</v>
      </c>
      <c r="S7" s="40" t="s">
        <v>39</v>
      </c>
      <c r="T7" s="38" t="s">
        <v>14</v>
      </c>
      <c r="U7" s="38" t="s">
        <v>37</v>
      </c>
    </row>
    <row r="8" ht="15" customHeight="1" spans="1:21">
      <c r="A8" s="41" t="s">
        <v>41</v>
      </c>
      <c r="B8" s="42" t="s">
        <v>42</v>
      </c>
      <c r="C8" s="43">
        <f>ABS(C5-C6)/ABS(C5)</f>
        <v>0.00018058690744919</v>
      </c>
      <c r="D8" s="43">
        <f>ABS(D5-D6)/ABS(D5)</f>
        <v>0.000416666666666621</v>
      </c>
      <c r="E8" s="42" t="s">
        <v>43</v>
      </c>
      <c r="F8" s="42" t="s">
        <v>42</v>
      </c>
      <c r="G8" s="43">
        <f>ABS(G5-G6)/ABS(G5)</f>
        <v>0.000820512820512844</v>
      </c>
      <c r="H8" s="43">
        <f>ABS(H5-H6)/ABS(H5)</f>
        <v>0</v>
      </c>
      <c r="I8" s="42" t="s">
        <v>43</v>
      </c>
      <c r="J8" s="42" t="s">
        <v>42</v>
      </c>
      <c r="K8" s="43">
        <f>ABS(K5-K6)/ABS(K5)</f>
        <v>0.000143884892086422</v>
      </c>
      <c r="L8" s="43">
        <f>ABS(L5-L6)/ABS(L5)</f>
        <v>0.00044444444444456</v>
      </c>
      <c r="M8" s="42" t="s">
        <v>43</v>
      </c>
      <c r="N8" s="42" t="s">
        <v>42</v>
      </c>
      <c r="O8" s="43">
        <f>ABS(O5-O6)/ABS(O5)</f>
        <v>0.000160142348754391</v>
      </c>
      <c r="P8" s="43">
        <f>ABS(P5-P6)/ABS(P5)</f>
        <v>0.000325732899022765</v>
      </c>
      <c r="Q8" s="42" t="s">
        <v>43</v>
      </c>
      <c r="R8" s="42" t="s">
        <v>42</v>
      </c>
      <c r="S8" s="44" t="s">
        <v>44</v>
      </c>
      <c r="T8" s="42" t="s">
        <v>14</v>
      </c>
      <c r="U8" s="42" t="s">
        <v>43</v>
      </c>
    </row>
    <row r="9" ht="15" customHeight="1" spans="1:21">
      <c r="A9" s="45" t="s">
        <v>45</v>
      </c>
      <c r="B9" s="46" t="s">
        <v>46</v>
      </c>
      <c r="C9" s="46"/>
      <c r="D9" s="46"/>
      <c r="E9" s="46"/>
      <c r="F9" s="46" t="s">
        <v>46</v>
      </c>
      <c r="G9" s="46"/>
      <c r="H9" s="46"/>
      <c r="I9" s="46"/>
      <c r="J9" s="46" t="s">
        <v>46</v>
      </c>
      <c r="K9" s="46"/>
      <c r="L9" s="46"/>
      <c r="M9" s="46"/>
      <c r="N9" s="46" t="s">
        <v>46</v>
      </c>
      <c r="O9" s="46"/>
      <c r="P9" s="46"/>
      <c r="Q9" s="46"/>
      <c r="R9" s="46" t="s">
        <v>47</v>
      </c>
      <c r="S9" s="46"/>
      <c r="T9" s="46"/>
      <c r="U9" s="46"/>
    </row>
    <row r="11" ht="15" customHeight="1" spans="1:21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</row>
    <row r="12" ht="15" customHeight="1" spans="1:21">
      <c r="A12" s="48" t="s">
        <v>48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</row>
    <row r="13" ht="15" customHeight="1" spans="1:21">
      <c r="A13" s="2" t="s">
        <v>49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ht="15" customHeight="1" spans="1:21">
      <c r="A14" s="47" t="s">
        <v>50</v>
      </c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</row>
    <row r="15" ht="15" customHeight="1" spans="1:21">
      <c r="A15" s="47" t="s">
        <v>51</v>
      </c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</row>
    <row r="16" ht="15" customHeight="1" spans="1:21">
      <c r="A16" s="2" t="s">
        <v>52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ht="15" customHeight="1" spans="1:21">
      <c r="A17" s="47" t="s">
        <v>53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</row>
    <row r="18" ht="15" customHeight="1" spans="1:21">
      <c r="A18" s="2" t="s">
        <v>54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ht="15" customHeight="1" spans="1:21">
      <c r="A19" s="47" t="s">
        <v>55</v>
      </c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</row>
  </sheetData>
  <mergeCells count="21">
    <mergeCell ref="A1:U1"/>
    <mergeCell ref="A2:U2"/>
    <mergeCell ref="B3:E3"/>
    <mergeCell ref="F3:I3"/>
    <mergeCell ref="J3:M3"/>
    <mergeCell ref="N3:Q3"/>
    <mergeCell ref="R3:U3"/>
    <mergeCell ref="B9:E9"/>
    <mergeCell ref="F9:I9"/>
    <mergeCell ref="J9:M9"/>
    <mergeCell ref="N9:Q9"/>
    <mergeCell ref="R9:U9"/>
    <mergeCell ref="A11:U11"/>
    <mergeCell ref="A12:U12"/>
    <mergeCell ref="A13:U13"/>
    <mergeCell ref="A14:U14"/>
    <mergeCell ref="A15:U15"/>
    <mergeCell ref="A16:U16"/>
    <mergeCell ref="A17:U17"/>
    <mergeCell ref="A18:U18"/>
    <mergeCell ref="A19:U19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workbookViewId="0">
      <selection activeCell="A1" sqref="A1:C1"/>
    </sheetView>
  </sheetViews>
  <sheetFormatPr defaultColWidth="8.68141592920354" defaultRowHeight="14.25" outlineLevelCol="2"/>
  <cols>
    <col min="1" max="1" width="30" customWidth="1"/>
    <col min="2" max="3" width="12" customWidth="1"/>
  </cols>
  <sheetData>
    <row r="1" ht="31.3" customHeight="1" spans="1:3">
      <c r="A1" s="1" t="s">
        <v>56</v>
      </c>
      <c r="B1" s="1"/>
      <c r="C1" s="1"/>
    </row>
    <row r="2" ht="22.35" customHeight="1" spans="1:3">
      <c r="A2" s="2" t="s">
        <v>57</v>
      </c>
      <c r="B2" s="2"/>
      <c r="C2" s="2"/>
    </row>
    <row r="3" spans="1:3">
      <c r="A3" s="3" t="s">
        <v>58</v>
      </c>
      <c r="B3" s="3" t="s">
        <v>59</v>
      </c>
      <c r="C3" s="3" t="s">
        <v>60</v>
      </c>
    </row>
    <row r="4" spans="1:3">
      <c r="A4" s="9" t="s">
        <v>61</v>
      </c>
      <c r="B4" s="10">
        <v>14</v>
      </c>
      <c r="C4" s="11">
        <f t="shared" ref="C4:C9" si="0">B4/$B$9</f>
        <v>1</v>
      </c>
    </row>
    <row r="5" spans="1:3">
      <c r="A5" s="12" t="s">
        <v>62</v>
      </c>
      <c r="B5" s="13">
        <v>0</v>
      </c>
      <c r="C5" s="14">
        <f t="shared" si="0"/>
        <v>0</v>
      </c>
    </row>
    <row r="6" spans="1:3">
      <c r="A6" s="12" t="s">
        <v>63</v>
      </c>
      <c r="B6" s="13">
        <v>0</v>
      </c>
      <c r="C6" s="14">
        <f t="shared" si="0"/>
        <v>0</v>
      </c>
    </row>
    <row r="7" spans="1:3">
      <c r="A7" s="12" t="s">
        <v>64</v>
      </c>
      <c r="B7" s="13">
        <v>0</v>
      </c>
      <c r="C7" s="14">
        <f t="shared" si="0"/>
        <v>0</v>
      </c>
    </row>
    <row r="8" spans="1:3">
      <c r="A8" s="12" t="s">
        <v>65</v>
      </c>
      <c r="B8" s="13">
        <v>0</v>
      </c>
      <c r="C8" s="14">
        <f t="shared" si="0"/>
        <v>0</v>
      </c>
    </row>
    <row r="9" spans="1:3">
      <c r="A9" s="15" t="s">
        <v>66</v>
      </c>
      <c r="B9" s="16">
        <f>SUM(B4:B8)</f>
        <v>14</v>
      </c>
      <c r="C9" s="17">
        <f t="shared" si="0"/>
        <v>1</v>
      </c>
    </row>
    <row r="11" ht="15" customHeight="1" spans="1:3">
      <c r="A11" s="18" t="s">
        <v>48</v>
      </c>
      <c r="B11" s="18"/>
      <c r="C11" s="18"/>
    </row>
    <row r="12" ht="22.35" customHeight="1" spans="1:3">
      <c r="A12" s="19" t="s">
        <v>67</v>
      </c>
      <c r="B12" s="19"/>
      <c r="C12" s="19"/>
    </row>
    <row r="13" ht="32.8" customHeight="1" spans="1:3">
      <c r="A13" s="20" t="s">
        <v>68</v>
      </c>
      <c r="B13" s="20"/>
      <c r="C13" s="20"/>
    </row>
    <row r="14" ht="22.35" customHeight="1" spans="1:3">
      <c r="A14" s="20" t="s">
        <v>69</v>
      </c>
      <c r="B14" s="20"/>
      <c r="C14" s="20"/>
    </row>
    <row r="15" ht="22.35" customHeight="1" spans="1:3">
      <c r="A15" s="19" t="s">
        <v>70</v>
      </c>
      <c r="B15" s="19"/>
      <c r="C15" s="19"/>
    </row>
    <row r="16" ht="15" customHeight="1" spans="1:3">
      <c r="A16" s="19" t="s">
        <v>71</v>
      </c>
      <c r="B16" s="19"/>
      <c r="C16" s="19"/>
    </row>
    <row r="18" ht="31.3" customHeight="1" spans="1:3">
      <c r="A18" s="1" t="s">
        <v>72</v>
      </c>
      <c r="B18" s="1"/>
      <c r="C18" s="1"/>
    </row>
    <row r="19" ht="32.8" customHeight="1" spans="1:3">
      <c r="A19" s="2" t="s">
        <v>73</v>
      </c>
      <c r="B19" s="2"/>
      <c r="C19" s="2"/>
    </row>
    <row r="20" spans="1:3">
      <c r="A20" s="3" t="s">
        <v>58</v>
      </c>
      <c r="B20" s="3" t="s">
        <v>59</v>
      </c>
      <c r="C20" s="3" t="s">
        <v>60</v>
      </c>
    </row>
    <row r="21" spans="1:3">
      <c r="A21" s="9" t="s">
        <v>61</v>
      </c>
      <c r="B21" s="10">
        <v>14</v>
      </c>
      <c r="C21" s="11">
        <f t="shared" ref="C21:C26" si="1">B21/$B$26</f>
        <v>1</v>
      </c>
    </row>
    <row r="22" spans="1:3">
      <c r="A22" s="12" t="s">
        <v>62</v>
      </c>
      <c r="B22" s="13">
        <v>0</v>
      </c>
      <c r="C22" s="14">
        <f t="shared" si="1"/>
        <v>0</v>
      </c>
    </row>
    <row r="23" spans="1:3">
      <c r="A23" s="12" t="s">
        <v>63</v>
      </c>
      <c r="B23" s="13">
        <v>0</v>
      </c>
      <c r="C23" s="14">
        <f t="shared" si="1"/>
        <v>0</v>
      </c>
    </row>
    <row r="24" spans="1:3">
      <c r="A24" s="12" t="s">
        <v>64</v>
      </c>
      <c r="B24" s="13">
        <v>0</v>
      </c>
      <c r="C24" s="14">
        <f t="shared" si="1"/>
        <v>0</v>
      </c>
    </row>
    <row r="25" spans="1:3">
      <c r="A25" s="12" t="s">
        <v>65</v>
      </c>
      <c r="B25" s="13">
        <v>0</v>
      </c>
      <c r="C25" s="14">
        <f t="shared" si="1"/>
        <v>0</v>
      </c>
    </row>
    <row r="26" spans="1:3">
      <c r="A26" s="15" t="s">
        <v>66</v>
      </c>
      <c r="B26" s="16">
        <f>SUM(B21:B25)</f>
        <v>14</v>
      </c>
      <c r="C26" s="17">
        <f t="shared" si="1"/>
        <v>1</v>
      </c>
    </row>
    <row r="28" ht="15" customHeight="1" spans="1:3">
      <c r="A28" s="18" t="s">
        <v>48</v>
      </c>
      <c r="B28" s="18"/>
      <c r="C28" s="18"/>
    </row>
    <row r="29" ht="22.35" customHeight="1" spans="1:3">
      <c r="A29" s="19" t="s">
        <v>67</v>
      </c>
      <c r="B29" s="19"/>
      <c r="C29" s="19"/>
    </row>
    <row r="30" ht="32.8" customHeight="1" spans="1:3">
      <c r="A30" s="20" t="s">
        <v>68</v>
      </c>
      <c r="B30" s="20"/>
      <c r="C30" s="20"/>
    </row>
    <row r="31" ht="22.35" customHeight="1" spans="1:3">
      <c r="A31" s="20" t="s">
        <v>69</v>
      </c>
      <c r="B31" s="20"/>
      <c r="C31" s="20"/>
    </row>
    <row r="32" ht="22.35" customHeight="1" spans="1:3">
      <c r="A32" s="19" t="s">
        <v>70</v>
      </c>
      <c r="B32" s="19"/>
      <c r="C32" s="19"/>
    </row>
    <row r="33" ht="15" customHeight="1" spans="1:3">
      <c r="A33" s="19" t="s">
        <v>71</v>
      </c>
      <c r="B33" s="19"/>
      <c r="C33" s="19"/>
    </row>
  </sheetData>
  <mergeCells count="16">
    <mergeCell ref="A1:C1"/>
    <mergeCell ref="A2:C2"/>
    <mergeCell ref="A11:C11"/>
    <mergeCell ref="A12:C12"/>
    <mergeCell ref="A13:C13"/>
    <mergeCell ref="A14:C14"/>
    <mergeCell ref="A15:C15"/>
    <mergeCell ref="A16:C16"/>
    <mergeCell ref="A18:C18"/>
    <mergeCell ref="A19:C19"/>
    <mergeCell ref="A28:C28"/>
    <mergeCell ref="A29:C29"/>
    <mergeCell ref="A30:C30"/>
    <mergeCell ref="A31:C31"/>
    <mergeCell ref="A32:C32"/>
    <mergeCell ref="A33:C3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workbookViewId="0">
      <selection activeCell="A1" sqref="A1:C1"/>
    </sheetView>
  </sheetViews>
  <sheetFormatPr defaultColWidth="8.68141592920354" defaultRowHeight="14.25" outlineLevelCol="2"/>
  <cols>
    <col min="1" max="1" width="30" customWidth="1"/>
    <col min="2" max="3" width="12" customWidth="1"/>
  </cols>
  <sheetData>
    <row r="1" ht="31.3" customHeight="1" spans="1:3">
      <c r="A1" s="1" t="s">
        <v>74</v>
      </c>
      <c r="B1" s="1"/>
      <c r="C1" s="1"/>
    </row>
    <row r="2" ht="22.35" customHeight="1" spans="1:3">
      <c r="A2" s="2" t="s">
        <v>75</v>
      </c>
      <c r="B2" s="2"/>
      <c r="C2" s="2"/>
    </row>
    <row r="3" spans="1:3">
      <c r="A3" s="3" t="s">
        <v>76</v>
      </c>
      <c r="B3" s="3" t="s">
        <v>59</v>
      </c>
      <c r="C3" s="3" t="s">
        <v>60</v>
      </c>
    </row>
    <row r="4" spans="1:3">
      <c r="A4" s="9" t="s">
        <v>77</v>
      </c>
      <c r="B4" s="10">
        <v>5</v>
      </c>
      <c r="C4" s="11">
        <f>B4/$B$6</f>
        <v>1</v>
      </c>
    </row>
    <row r="5" spans="1:3">
      <c r="A5" s="12" t="s">
        <v>78</v>
      </c>
      <c r="B5" s="13">
        <v>0</v>
      </c>
      <c r="C5" s="14">
        <f>B5/$B$6</f>
        <v>0</v>
      </c>
    </row>
    <row r="6" spans="1:3">
      <c r="A6" s="15" t="s">
        <v>66</v>
      </c>
      <c r="B6" s="16">
        <f>SUM(B4:B5)</f>
        <v>5</v>
      </c>
      <c r="C6" s="17">
        <f>B6/$B$6</f>
        <v>1</v>
      </c>
    </row>
    <row r="8" ht="15" customHeight="1" spans="1:3">
      <c r="A8" s="18" t="s">
        <v>48</v>
      </c>
      <c r="B8" s="18"/>
      <c r="C8" s="18"/>
    </row>
    <row r="9" ht="22.35" customHeight="1" spans="1:3">
      <c r="A9" s="19" t="s">
        <v>79</v>
      </c>
      <c r="B9" s="19"/>
      <c r="C9" s="19"/>
    </row>
    <row r="10" ht="15" customHeight="1" spans="1:3">
      <c r="A10" s="20" t="s">
        <v>80</v>
      </c>
      <c r="B10" s="20"/>
      <c r="C10" s="20"/>
    </row>
    <row r="11" ht="15" customHeight="1" spans="1:3">
      <c r="A11" s="19" t="s">
        <v>81</v>
      </c>
      <c r="B11" s="19"/>
      <c r="C11" s="19"/>
    </row>
    <row r="12" ht="15" customHeight="1" spans="1:3">
      <c r="A12" s="19" t="s">
        <v>82</v>
      </c>
      <c r="B12" s="19"/>
      <c r="C12" s="19"/>
    </row>
    <row r="13" ht="15" customHeight="1" spans="1:3">
      <c r="A13" s="19" t="s">
        <v>83</v>
      </c>
      <c r="B13" s="19"/>
      <c r="C13" s="19"/>
    </row>
    <row r="14" ht="15" customHeight="1" spans="1:3">
      <c r="A14" s="19" t="s">
        <v>84</v>
      </c>
      <c r="B14" s="19"/>
      <c r="C14" s="19"/>
    </row>
    <row r="15" ht="15" customHeight="1" spans="1:3">
      <c r="A15" s="19" t="s">
        <v>85</v>
      </c>
      <c r="B15" s="19"/>
      <c r="C15" s="19"/>
    </row>
    <row r="16" ht="15" customHeight="1" spans="1:3">
      <c r="A16" s="19" t="s">
        <v>86</v>
      </c>
      <c r="B16" s="19"/>
      <c r="C16" s="19"/>
    </row>
    <row r="18" ht="31.3" customHeight="1" spans="1:3">
      <c r="A18" s="1" t="s">
        <v>87</v>
      </c>
      <c r="B18" s="1"/>
      <c r="C18" s="1"/>
    </row>
    <row r="19" ht="32.8" customHeight="1" spans="1:3">
      <c r="A19" s="2" t="s">
        <v>88</v>
      </c>
      <c r="B19" s="2"/>
      <c r="C19" s="2"/>
    </row>
    <row r="20" spans="1:3">
      <c r="A20" s="3" t="s">
        <v>76</v>
      </c>
      <c r="B20" s="3" t="s">
        <v>59</v>
      </c>
      <c r="C20" s="3" t="s">
        <v>60</v>
      </c>
    </row>
    <row r="21" spans="1:3">
      <c r="A21" s="9" t="s">
        <v>77</v>
      </c>
      <c r="B21" s="10">
        <v>5</v>
      </c>
      <c r="C21" s="11">
        <f>B21/$B$23</f>
        <v>1</v>
      </c>
    </row>
    <row r="22" spans="1:3">
      <c r="A22" s="12" t="s">
        <v>78</v>
      </c>
      <c r="B22" s="13">
        <v>0</v>
      </c>
      <c r="C22" s="14">
        <f>B22/$B$23</f>
        <v>0</v>
      </c>
    </row>
    <row r="23" spans="1:3">
      <c r="A23" s="15" t="s">
        <v>66</v>
      </c>
      <c r="B23" s="16">
        <f>SUM(B21:B22)</f>
        <v>5</v>
      </c>
      <c r="C23" s="17">
        <f>B23/$B$23</f>
        <v>1</v>
      </c>
    </row>
    <row r="25" ht="15" customHeight="1" spans="1:3">
      <c r="A25" s="18" t="s">
        <v>48</v>
      </c>
      <c r="B25" s="18"/>
      <c r="C25" s="18"/>
    </row>
    <row r="26" ht="22.35" customHeight="1" spans="1:3">
      <c r="A26" s="19" t="s">
        <v>79</v>
      </c>
      <c r="B26" s="19"/>
      <c r="C26" s="19"/>
    </row>
    <row r="27" ht="15" customHeight="1" spans="1:3">
      <c r="A27" s="20" t="s">
        <v>80</v>
      </c>
      <c r="B27" s="20"/>
      <c r="C27" s="20"/>
    </row>
    <row r="28" ht="15" customHeight="1" spans="1:3">
      <c r="A28" s="19" t="s">
        <v>81</v>
      </c>
      <c r="B28" s="19"/>
      <c r="C28" s="19"/>
    </row>
    <row r="29" ht="15" customHeight="1" spans="1:3">
      <c r="A29" s="19" t="s">
        <v>82</v>
      </c>
      <c r="B29" s="19"/>
      <c r="C29" s="19"/>
    </row>
    <row r="30" ht="15" customHeight="1" spans="1:3">
      <c r="A30" s="19" t="s">
        <v>83</v>
      </c>
      <c r="B30" s="19"/>
      <c r="C30" s="19"/>
    </row>
    <row r="31" ht="15" customHeight="1" spans="1:3">
      <c r="A31" s="19" t="s">
        <v>84</v>
      </c>
      <c r="B31" s="19"/>
      <c r="C31" s="19"/>
    </row>
    <row r="32" ht="15" customHeight="1" spans="1:3">
      <c r="A32" s="19" t="s">
        <v>85</v>
      </c>
      <c r="B32" s="19"/>
      <c r="C32" s="19"/>
    </row>
    <row r="33" ht="15" customHeight="1" spans="1:3">
      <c r="A33" s="19" t="s">
        <v>86</v>
      </c>
      <c r="B33" s="19"/>
      <c r="C33" s="19"/>
    </row>
  </sheetData>
  <mergeCells count="22">
    <mergeCell ref="A1:C1"/>
    <mergeCell ref="A2:C2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8:C18"/>
    <mergeCell ref="A19:C19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A13" sqref="A13:C13"/>
    </sheetView>
  </sheetViews>
  <sheetFormatPr defaultColWidth="8.68141592920354" defaultRowHeight="14.25" outlineLevelCol="2"/>
  <cols>
    <col min="1" max="1" width="16" customWidth="1"/>
    <col min="2" max="2" width="22" customWidth="1"/>
    <col min="3" max="3" width="74" customWidth="1"/>
  </cols>
  <sheetData>
    <row r="1" ht="16.4" customHeight="1" spans="1:3">
      <c r="A1" s="1" t="s">
        <v>89</v>
      </c>
      <c r="B1" s="1"/>
      <c r="C1" s="1"/>
    </row>
    <row r="2" ht="43.5" customHeight="1" spans="1:3">
      <c r="A2" s="2" t="s">
        <v>90</v>
      </c>
      <c r="B2" s="2"/>
      <c r="C2" s="2"/>
    </row>
    <row r="3" spans="1:3">
      <c r="A3" s="3" t="s">
        <v>91</v>
      </c>
      <c r="B3" s="3" t="s">
        <v>92</v>
      </c>
      <c r="C3" s="3" t="s">
        <v>93</v>
      </c>
    </row>
    <row r="4" ht="57.75" customHeight="1" spans="1:3">
      <c r="A4" s="4" t="s">
        <v>94</v>
      </c>
      <c r="B4" s="5" t="s">
        <v>95</v>
      </c>
      <c r="C4" s="6" t="s">
        <v>96</v>
      </c>
    </row>
    <row r="5" ht="57.75" customHeight="1" spans="1:3">
      <c r="A5" s="4"/>
      <c r="B5" s="7" t="s">
        <v>97</v>
      </c>
      <c r="C5" s="8" t="s">
        <v>98</v>
      </c>
    </row>
    <row r="6" ht="57.75" customHeight="1" spans="1:3">
      <c r="A6" s="4"/>
      <c r="B6" s="7" t="s">
        <v>99</v>
      </c>
      <c r="C6" s="8" t="s">
        <v>100</v>
      </c>
    </row>
    <row r="7" ht="57.75" customHeight="1" spans="1:3">
      <c r="A7" s="4"/>
      <c r="B7" s="7" t="s">
        <v>101</v>
      </c>
      <c r="C7" s="8" t="s">
        <v>102</v>
      </c>
    </row>
    <row r="8" ht="57.75" customHeight="1" spans="1:3">
      <c r="A8" s="4" t="s">
        <v>103</v>
      </c>
      <c r="B8" s="7" t="s">
        <v>104</v>
      </c>
      <c r="C8" s="8" t="s">
        <v>105</v>
      </c>
    </row>
    <row r="9" ht="57.75" customHeight="1" spans="1:3">
      <c r="A9" s="4"/>
      <c r="B9" s="7" t="s">
        <v>106</v>
      </c>
      <c r="C9" s="8" t="s">
        <v>107</v>
      </c>
    </row>
    <row r="10" ht="57.75" customHeight="1" spans="1:3">
      <c r="A10" s="4" t="s">
        <v>108</v>
      </c>
      <c r="B10" s="7" t="s">
        <v>109</v>
      </c>
      <c r="C10" s="8" t="s">
        <v>110</v>
      </c>
    </row>
    <row r="11" ht="57.75" customHeight="1" spans="1:3">
      <c r="A11" s="4"/>
      <c r="B11" s="7" t="s">
        <v>111</v>
      </c>
      <c r="C11" s="8" t="s">
        <v>112</v>
      </c>
    </row>
    <row r="13" ht="22.35" customHeight="1" spans="1:3">
      <c r="A13" s="2" t="s">
        <v>113</v>
      </c>
      <c r="B13" s="2"/>
      <c r="C13" s="2"/>
    </row>
  </sheetData>
  <mergeCells count="6">
    <mergeCell ref="A1:C1"/>
    <mergeCell ref="A2:C2"/>
    <mergeCell ref="A13:C13"/>
    <mergeCell ref="A4:A7"/>
    <mergeCell ref="A8:A9"/>
    <mergeCell ref="A10:A11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LibreOffice/26.2.2.2$Linux_X86_64 LibreOffice_project/620$Build-2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表2_描述性统计</vt:lpstr>
      <vt:lpstr>表5_推断统计_原方法</vt:lpstr>
      <vt:lpstr>表7_结果可复现性评级</vt:lpstr>
      <vt:lpstr>表8_推论一致性评级</vt:lpstr>
      <vt:lpstr>表10_不可复现原因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心.在彷徨</cp:lastModifiedBy>
  <cp:revision>0</cp:revision>
  <dcterms:created xsi:type="dcterms:W3CDTF">2026-06-07T08:35:00Z</dcterms:created>
  <dcterms:modified xsi:type="dcterms:W3CDTF">2026-06-07T08:36:46Z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19ACB4AD82CD4F8DAA59F419FD80E382_12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