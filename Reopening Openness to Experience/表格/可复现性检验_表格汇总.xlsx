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10455" tabRatio="500"/>
  </bookViews>
  <sheets>
    <sheet name="表1_文献信息表" sheetId="1" r:id="rId1"/>
    <sheet name="表2_描述性统计" sheetId="2" r:id="rId2"/>
    <sheet name="表5_推断统计_原方法" sheetId="3" r:id="rId3"/>
    <sheet name="表7_结果可复现性评级" sheetId="4" r:id="rId4"/>
    <sheet name="表8_推论一致性评级" sheetId="5" r:id="rId5"/>
    <sheet name="表10_不可复现原因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<sst xmlns="http://schemas.openxmlformats.org/spreadsheetml/2006/main" count="229" uniqueCount="141">
  <si>
    <t>表 1  文献信息表</t>
  </si>
  <si>
    <t>1  文献基本信息</t>
  </si>
  <si>
    <t>所选文献</t>
  </si>
  <si>
    <t>Christensen, A. P., Cotter, K. N., &amp; Silvia, P. J. (2019). Reopening openness to experience: A network analysis of four openness to experience inventories. Journal of Personality Assessment, 101(6), 574–588. https://doi.org/10.1080/00223891.2018.1467428</t>
  </si>
  <si>
    <t>数据来源</t>
  </si>
  <si>
    <t>OSF: https://osf.io/954a7/overview （数据亦内置于 R 包 NetworkToolbox 的 openness 数据集）</t>
  </si>
  <si>
    <t>2  文献选取</t>
  </si>
  <si>
    <t>文献主题是否包含不止一篇研究？</t>
  </si>
  <si>
    <t>否</t>
  </si>
  <si>
    <t>文献此前被其他研究者重复过？</t>
  </si>
  <si>
    <t>3  研究假设选取</t>
  </si>
  <si>
    <t>重复的研究假设</t>
  </si>
  <si>
    <t>原文为单一研究、三批样本（Fall 2015 / Spring 2017 / Mturk）合并 N=802，含四块分析。
【已复现】① 网络结构：TMFG 构网 + walktrap 社区检测 → 10 个分面 / 3 个高阶方面（Figure 1、Table 2）；② 四套量表的概念覆盖（Figure 2、SI 3–6）；③ 三批样本组间比较：MANOVA + Box's M（SI 7）。
【未复现】④ facet 信度与相关（Table 3：各网络分面的 Rasch 信度 Rr 与相关）——相关代码未提供，且非核心研究。</t>
  </si>
  <si>
    <t>重复的研究假设是否在其他研究中经过重复？</t>
  </si>
  <si>
    <t>文献共几个实验，重复的研究假设是第几个实验中的？</t>
  </si>
  <si>
    <t>原文非多实验 / 多研究结构，为对三批样本合并（N=802）的单一横断面研究；复现其主分析（网络结构 + 覆盖 + 组间 MANOVA），未选取信度/相关部分。</t>
  </si>
  <si>
    <t>选择该假设的原因</t>
  </si>
  <si>
    <t>网络分析与组间比较即文章核心结论所在；原文用 R（NetworkToolbox / qgraph / igraph）实现、MANOVA 属课程方法，复现可行。原文非多实验结构，故“默认复现最后一个实验”不适用，复现其主分析整体。</t>
  </si>
  <si>
    <t>4  数据集选取</t>
  </si>
  <si>
    <t>是否采用原始数据？</t>
  </si>
  <si>
    <t>否。原始数据未公开、原清洗在 SPSS 完成；OSF 仅提供处理后数据，故合规使用处理后数据（网络分析用 138 题 CSV；MANOVA 用 .sav，并以 138 题响应指纹重建分组变量 Group）。</t>
  </si>
  <si>
    <t>是否对样本量进行修改？</t>
  </si>
  <si>
    <t>否（N = 802 保持不变）</t>
  </si>
  <si>
    <t>若修改，报告原文样本量与修改后样本量</t>
  </si>
  <si>
    <t>不适用（未修改；N=802，三组 176/108/518）</t>
  </si>
  <si>
    <t>若修改，报告 G-power 计算的修改后样本量对应效应量</t>
  </si>
  <si>
    <t>不适用（未修改）</t>
  </si>
  <si>
    <t>表 2  描述性统计结果的比较</t>
  </si>
  <si>
    <t>说明：本文献为网络分析研究，原文未报告各题/各 facet 的均值与标准差（正文 Table 1–3 与 SI 仅报告 Rasch 信度 Rr），故描述性统计的可复现性检验聚焦于【样本量 N】——这也是指南强调的、影响后续推断统计有效性的关键描述指标。</t>
  </si>
  <si>
    <t>描述统计量</t>
  </si>
  <si>
    <t>总样本 N</t>
  </si>
  <si>
    <t>样本1 N
(Fall 2015 大学生)</t>
  </si>
  <si>
    <t>样本2 N
(Spring 2017 大学生)</t>
  </si>
  <si>
    <t>样本3 N
(Mturk)</t>
  </si>
  <si>
    <t>各题 Mean</t>
  </si>
  <si>
    <t>各题 SD</t>
  </si>
  <si>
    <t>原研究报告结果</t>
  </si>
  <si>
    <t>原文未报告</t>
  </si>
  <si>
    <t>本研究（复现）</t>
  </si>
  <si>
    <t>—（可计算，无对比基准）</t>
  </si>
  <si>
    <t>PE (%)</t>
  </si>
  <si>
    <t>—</t>
  </si>
  <si>
    <t>可复现性评级</t>
  </si>
  <si>
    <t>完全一致</t>
  </si>
  <si>
    <t>无法比较</t>
  </si>
  <si>
    <t>数据来源与说明：</t>
  </si>
  <si>
    <t>① 原研究样本量来源：SI 7（MANOVA 各组 n 标注：n=176 / 108 / 518）+ Data Cleaning Notes.docx（955 招募 → 删 121 → 删 33 → 最终 802）。</t>
  </si>
  <si>
    <t>② 本研究样本量：分析文件 .sav 缺失分组变量 Group，故用 138 题响应指纹将 802 人匹配回三个源文件重建 Group，得 176/108/518，与原文三方一致。</t>
  </si>
  <si>
    <t>③ Mean/SD：原文（正文 Table 1–3、SI）未报告各题/各 facet 的均值与标准差，仅报告 Rasch 信度（Rr），无对比基准，故记为「无法比较」。</t>
  </si>
  <si>
    <t>④ PE = |原研究报告值 − 复现值| / |原研究报告值| × 100%；四个样本量 PE 均为 0%，达「完全一致」档。</t>
  </si>
  <si>
    <t>表 5  推断性统计结果的比较（采用原文献方法）</t>
  </si>
  <si>
    <t>原文方法：MANOVA（三组整体 + 三组两两）+ Box's M 协方差齐性检验。效应与参数列出，行依次为 原文献报告结果 / 本研究（主版·10社区）/ Claude code（8社区分支）/ δ(PE) / 评级。</t>
  </si>
  <si>
    <t>三组整体 MANOVA</t>
  </si>
  <si>
    <t>1 vs 2（Fall × Spring）</t>
  </si>
  <si>
    <t>1 vs 3（Fall × Mturk）</t>
  </si>
  <si>
    <t>2 vs 3（Spring × Mturk）</t>
  </si>
  <si>
    <t>Box's M（1 vs 3）</t>
  </si>
  <si>
    <t>样本量 N</t>
  </si>
  <si>
    <t>统计量 F</t>
  </si>
  <si>
    <t>效应量 Pillai</t>
  </si>
  <si>
    <t>显著性 p</t>
  </si>
  <si>
    <t>统计量</t>
  </si>
  <si>
    <t>效应量</t>
  </si>
  <si>
    <t>原文献报告结果</t>
  </si>
  <si>
    <t>&lt;.001</t>
  </si>
  <si>
    <t>本研究（主版·10社区）</t>
  </si>
  <si>
    <t>χ²=12891
(→F=1.292)</t>
  </si>
  <si>
    <t>Claude code（8社区分支）</t>
  </si>
  <si>
    <t>δ (PE)</t>
  </si>
  <si>
    <t>—¹</t>
  </si>
  <si>
    <t>—²</t>
  </si>
  <si>
    <t>0%³</t>
  </si>
  <si>
    <t>评级</t>
  </si>
  <si>
    <t>完全一致（按原文精度 δ=0%）</t>
  </si>
  <si>
    <t>完全一致（χ²→标准F=1.292，δ=0%）</t>
  </si>
  <si>
    <t>注释：</t>
  </si>
  <si>
    <t>¹ 样本量 N 属描述统计（见表2），按指南不计 PE。各两两比较 N=两组之和（1v2=284, 1v3=694, 2v3=626），整体=802。</t>
  </si>
  <si>
    <t>² p 值属推论，一致性见「评级」行：原文与复现均 p&lt;.001、落在 α=.05 同侧 → 推论一致（1v2 复现 p=3.998e-05，亦 &lt;.001）。</t>
  </si>
  <si>
    <t>³ Box's M：R 的 biotools::boxM 默认报卡方近似（χ²=12891, df=9591），原文 SI 7 报 F 近似（1.292）。二者来自同一原始统计量 M：由 χ²=(1−c₁)M 反推 M=18064，代入 Box 标准 F 近似公式得 F=1.292，与原文逐位一致（PE=0%）→ 完全一致。样本2（n=108&lt;138）协方差奇异，含样本2 的 Box's M 无法计算，故只检验 1 vs 3；p&lt;.001 推论一致。</t>
  </si>
  <si>
    <t>④ 数据来源：原文 SI 7。本研究=RStudio 主版复现（cut_at 强切 10 社区）；Claude code=8 社区原生分支复现。两者 MANOVA/Box's M 因变量均为固定 138 题、与社区数无关，故数值逐字一致（互为独立复现交叉验证）。</t>
  </si>
  <si>
    <t>⑤ F 的自由度标注口径不同：原文按 组/残差 df（整体 (2,799)；两两 (1,282)/(1,692)/(1,624)）；本研究 R 输出按多元近似 F 的 num/den df（整体 (276,1326)；两两 (138,145)/(138,555)/(138,487)）。F 值一致，仅标注方式不同。</t>
  </si>
  <si>
    <t>⑥ 效应量：MANOVA 的 Pillai's trace（0–1）本身即多元效应量；原文未另报 partial η²，故效应量列填 Pillai。</t>
  </si>
  <si>
    <t>⑦ δ(PE)=|原文报告值 − 复现值| / |原文报告值| × 100%。δ 行所示为全精度残差；按原文报告精度四舍五入后各值逐一相等（如 4.4308→4.43、.9596→.960），故评级为「完全一致 δ=0%」。</t>
  </si>
  <si>
    <t>表 7  结果的计算可复现性的评估表（① 本研究·RStudio 主版·10社区）</t>
  </si>
  <si>
    <t>说明：本表为【本研究】单独一份。对采用原文方法的全部推断统计结果做配对比较与评级，共 14 项。</t>
  </si>
  <si>
    <t>结果的可复现性</t>
  </si>
  <si>
    <t>数量 N</t>
  </si>
  <si>
    <t>占比 %</t>
  </si>
  <si>
    <t>完全一致 (δ = 0%)</t>
  </si>
  <si>
    <t>偏差较小 (0% &lt; δ &lt; 10%)</t>
  </si>
  <si>
    <t>偏差较大 (δ &gt; 10%)</t>
  </si>
  <si>
    <t>因舍入导致的偏差</t>
  </si>
  <si>
    <t>无法进行可重复检验</t>
  </si>
  <si>
    <t>合计</t>
  </si>
  <si>
    <t>* N 指与原结果配对比较的数值个数：每个目标效应的各报告数值各计 1 个，跨效应求和。</t>
  </si>
  <si>
    <t>① 计数明细（14 项）：样本量 4（802 / 176 / 108 / 518）；MANOVA 统计量 F 4 + 效应量 Pillai 4（整体 / 1v2 / 1v3 / 2v3）；Box's M 自由度 df 1 + 统计量 1。</t>
  </si>
  <si>
    <t>② 全部 14 项均「完全一致」：MANOVA 8 值按原文报告精度四舍五入后逐一相等（δ=0%）；样本量精确重建一致；Box's M df=9591 一致。</t>
  </si>
  <si>
    <t>③ Box's M 统计量换算：R 报 χ²=12891 → 反推 M=18064 → Box 标准 F 近似得 F=1.292，与原文 SI 7 逐位一致（PE=0%）→ 完全一致。</t>
  </si>
  <si>
    <t>④ p 值（显著性）属推论一致性，计入表8，不计入本表结果数。</t>
  </si>
  <si>
    <t>表 7  结果的计算可复现性的评估表（② Claude code·8社区分支）</t>
  </si>
  <si>
    <t>说明：本表为【Claude code】单独一份；因 MANOVA/Box's M 与社区数无关，数值与本研究逐字一致（互为独立复现交叉验证）。对采用原文方法的全部推断统计结果做配对比较与评级，共 14 项。</t>
  </si>
  <si>
    <t>表 8  推论的一致性的评估表（原分析方法 · ① 本研究·RStudio 主版·10社区）</t>
  </si>
  <si>
    <t>说明：本表为【本研究】单独一份。推论一致性指原文 p 值与复现 p 值是否落在 α=0.05 边界同侧。共 5 个统计推断。</t>
  </si>
  <si>
    <t>推论的一致性</t>
  </si>
  <si>
    <t>一致</t>
  </si>
  <si>
    <t>不一致</t>
  </si>
  <si>
    <t>* 推论数量 N 指对效应做出统计推断的次数。共 5 次：三组整体 MANOVA、1v2、1v3、2v3 各 1 次，Box's M 1 次。</t>
  </si>
  <si>
    <t>① 一致判定：原文 p 与复现 p 落在 α=0.05 同侧即为一致。逐项——</t>
  </si>
  <si>
    <t xml:space="preserve">   · 整体 MANOVA：原文 p&lt;.001｜复现 p&lt;2.2e-16 → 同侧（显著）✓</t>
  </si>
  <si>
    <t xml:space="preserve">   · 1 vs 2：原文 p&lt;.001｜复现 p=3.998e-05 → 同侧（显著）✓</t>
  </si>
  <si>
    <t xml:space="preserve">   · 1 vs 3：原文 p&lt;.001｜复现 p&lt;2.2e-16 → 同侧（显著）✓</t>
  </si>
  <si>
    <t xml:space="preserve">   · 2 vs 3：原文 p&lt;.001｜复现 p&lt;2.2e-16 → 同侧（显著）✓</t>
  </si>
  <si>
    <t xml:space="preserve">   · Box's M：原文 p&lt;.001｜复现 p&lt;2.2e-16 → 同侧（协方差不齐）✓</t>
  </si>
  <si>
    <t>② 5 个推断全部一致，推论一致率 100%。</t>
  </si>
  <si>
    <t>表 8  推论的一致性的评估表（原分析方法 · ② Claude code·8社区分支）</t>
  </si>
  <si>
    <t>说明：本表为【Claude code】单独一份；因 MANOVA/Box's M 与社区数无关，p 值与本研究一致。推论一致性指原文 p 值与复现 p 值是否落在 α=0.05 边界同侧。共 5 个统计推断。</t>
  </si>
  <si>
    <t>表 10  计算上（不）可复现的原因分析表</t>
  </si>
  <si>
    <t>说明：仅列出对本复现适用/相关的因素（指南 21 条预设原因的精简版）。本复现整体高度成功——结果 100% 完全一致、推论 100% 一致；仅社区结构因 igraph 版本出现 10→8 的可控差异。</t>
  </si>
  <si>
    <t>可能原因（大类）</t>
  </si>
  <si>
    <t>具体原因</t>
  </si>
  <si>
    <t>研究一 · 本研究复现（适用性与说明）</t>
  </si>
  <si>
    <t>原文献开放性问题</t>
  </si>
  <si>
    <t>【代码·软件/包版本】软件包或软件版本的问题</t>
  </si>
  <si>
    <t>★ 适用（关键差异源）：原文用旧版 igraph，本复现用 igraph 2.3.2，walktrap 默认社区数由 10 变 8（模块度 0.722 &gt; 0.712）；用 cut_at(no=10) 强切回 10 后与原文逐一致。这是唯一造成结构差异的因素，已定位、可控。</t>
  </si>
  <si>
    <t>【OSF·数据与代码不一致】</t>
  </si>
  <si>
    <t>适用：分析文件 Openness Only_ANALYSIS FILE.sav 缺少代码/SI 所需的分组变量 Group（仅有无关的 DBHTgroup）。用 138 题响应指纹将 802 人匹配回三个源文件，重建 Group=176/108/518 解决（与 SI 7、Data Cleaning Notes 三方一致）。</t>
  </si>
  <si>
    <t>【数据·未提供原始数据】没有提供原始数据</t>
  </si>
  <si>
    <t>适用：仅公开处理后数据，原始数据未公开、原清洗在 SPSS；故合规采用处理后数据。</t>
  </si>
  <si>
    <t>【OSF·缺 readme】缺少 readme 说明文档</t>
  </si>
  <si>
    <t>适用：OSF（osf.io/954a7）未见 readme 说明文档，增加了理解数据/代码对应关系的成本。</t>
  </si>
  <si>
    <t>重复过程的原因</t>
  </si>
  <si>
    <t>【是否使用同样的软件包】</t>
  </si>
  <si>
    <t>适用（差异源）：R 与软件包相同，但 igraph 版本不同（见上）。注：数据集相同、分析方法相同（TMFG+walktrap+MANOVA），二者已排除为差异源。</t>
  </si>
  <si>
    <t>【复现者相关因素】R 经验与知识漏洞</t>
  </si>
  <si>
    <t>说明：复现者有一定 R 经验、原代码基本看得懂；个别操作（walktrap 社区编号映射、TMFG 技术细节）借助 AI/查资料理解。</t>
  </si>
  <si>
    <t>其他影响因素</t>
  </si>
  <si>
    <t>【文献年份】是否久远/开放科学之前</t>
  </si>
  <si>
    <t>非障碍：2019 年发表，处于开放科学运动之后，且提供 OSF 数据与代码，整体利于复现。</t>
  </si>
  <si>
    <t>【文献质量】引用量/他人支持/他人重复</t>
  </si>
  <si>
    <t>引用量 239（Google Scholar，2026-06 核实）；开放性多维结构有大量文献支持，原文亦称结果「largely replicate previous findings」；未发现公开的独立计算可复现性复制记录。</t>
  </si>
  <si>
    <t>注：黄色高亮为本复现唯一造成结构差异、且已定位根因的因素（igraph 版本漂移）。其余适用项为原文献数据/代码开放性的不足，复现中均已通过指纹重建等手段解决，未影响最终定量结果。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</si>
</sst>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(* #,##0_);_(* \(#,##0\);_(* &quot;-&quot;_);_(@_)"/>
    <numFmt numFmtId="42" formatCode="_(&quot;$&quot;* #,##0_);_(&quot;$&quot;* \(#,##0\);_(&quot;$&quot;* &quot;-&quot;_);_(@_)"/>
    <numFmt numFmtId="43" formatCode="_(* #,##0.00_);_(* \(#,##0.00\);_(* &quot;-&quot;??_);_(@_)"/>
    <numFmt numFmtId="44" formatCode="_(&quot;$&quot;* #,##0.00_);_(&quot;$&quot;* \(#,##0.00\);_(&quot;$&quot;* &quot;-&quot;??_);_(@_)"/>
    <numFmt numFmtId="176" formatCode="0.0%"/>
    <numFmt numFmtId="177" formatCode="0.000"/>
    <numFmt numFmtId="178" formatCode="0.0000"/>
  </numFmts>
  <fonts count="39">
    <font>
      <sz val="11"/>
      <color theme="1"/>
      <name val="Calibri"/>
      <charset val="1"/>
    </font>
    <font>
      <b/>
      <sz val="13"/>
      <name val="DejaVu Sans"/>
      <charset val="134"/>
    </font>
    <font>
      <sz val="9"/>
      <color rgb="FF404040"/>
      <name val="DejaVu Sans"/>
      <charset val="134"/>
    </font>
    <font>
      <b/>
      <sz val="10"/>
      <color rgb="FFFFFFFF"/>
      <name val="DejaVu Sans"/>
      <charset val="134"/>
    </font>
    <font>
      <b/>
      <sz val="10"/>
      <name val="DejaVu Sans"/>
      <charset val="134"/>
    </font>
    <font>
      <sz val="10"/>
      <name val="DejaVu Sans"/>
      <charset val="134"/>
    </font>
    <font>
      <sz val="10"/>
      <name val="Times New Roman"/>
      <charset val="1"/>
    </font>
    <font>
      <b/>
      <sz val="10"/>
      <name val="Times New Roman"/>
      <charset val="1"/>
    </font>
    <font>
      <b/>
      <sz val="9"/>
      <color rgb="FF000000"/>
      <name val="DejaVu Sans"/>
      <charset val="134"/>
    </font>
    <font>
      <sz val="9"/>
      <color rgb="FF404040"/>
      <name val="Times New Roman"/>
      <charset val="1"/>
    </font>
    <font>
      <b/>
      <sz val="10"/>
      <color rgb="FFFFFFFF"/>
      <name val="Times New Roman"/>
      <charset val="1"/>
    </font>
    <font>
      <b/>
      <sz val="9"/>
      <color rgb="FFFFFFFF"/>
      <name val="DejaVu Sans"/>
      <charset val="134"/>
    </font>
    <font>
      <sz val="10"/>
      <name val="DejaVu Sans"/>
      <charset val="1"/>
    </font>
    <font>
      <i/>
      <sz val="9"/>
      <color rgb="FF595959"/>
      <name val="DejaVu Sans"/>
      <charset val="134"/>
    </font>
    <font>
      <b/>
      <sz val="13"/>
      <color rgb="FFFFFFFF"/>
      <name val="微软雅黑"/>
      <charset val="134"/>
    </font>
    <font>
      <b/>
      <sz val="12"/>
      <color rgb="FFFFFFFF"/>
      <name val="微软雅黑"/>
      <charset val="134"/>
    </font>
    <font>
      <b/>
      <sz val="11"/>
      <color rgb="FF1F2937"/>
      <name val="微软雅黑"/>
      <charset val="134"/>
    </font>
    <font>
      <sz val="11"/>
      <color rgb="FF1F2937"/>
      <name val="微软雅黑"/>
      <charset val="134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9">
    <fill>
      <patternFill patternType="none"/>
    </fill>
    <fill>
      <patternFill patternType="gray125"/>
    </fill>
    <fill>
      <patternFill patternType="solid">
        <fgColor rgb="FF4472C4"/>
        <bgColor rgb="FF2F5496"/>
      </patternFill>
    </fill>
    <fill>
      <patternFill patternType="solid">
        <fgColor rgb="FFDDEBF7"/>
        <bgColor rgb="FFDEEBF7"/>
      </patternFill>
    </fill>
    <fill>
      <patternFill patternType="solid">
        <fgColor rgb="FFFFE699"/>
        <bgColor rgb="FFFFF2CC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EDEDED"/>
      </patternFill>
    </fill>
    <fill>
      <patternFill patternType="solid">
        <fgColor rgb="FFD9E1F2"/>
        <bgColor rgb="FFDDEBF7"/>
      </patternFill>
    </fill>
    <fill>
      <patternFill patternType="solid">
        <fgColor rgb="FF2F5496"/>
        <bgColor rgb="FF4472C4"/>
      </patternFill>
    </fill>
    <fill>
      <patternFill patternType="solid">
        <fgColor rgb="FF843C0C"/>
        <bgColor rgb="FF993366"/>
      </patternFill>
    </fill>
    <fill>
      <patternFill patternType="solid">
        <fgColor rgb="FFA6612A"/>
        <bgColor rgb="FF843C0C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EDEDED"/>
      </patternFill>
    </fill>
    <fill>
      <patternFill patternType="solid">
        <fgColor rgb="FFDEEBF7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EDEDED"/>
        <bgColor rgb="FFF2F2F2"/>
      </patternFill>
    </fill>
    <fill>
      <patternFill patternType="solid">
        <fgColor rgb="FF1E2761"/>
        <bgColor indexed="64"/>
      </patternFill>
    </fill>
    <fill>
      <patternFill patternType="solid">
        <fgColor rgb="FFF2F4F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C8CEDC"/>
      </left>
      <right style="thin">
        <color rgb="FFC8CEDC"/>
      </right>
      <top style="thin">
        <color rgb="FFC8CEDC"/>
      </top>
      <bottom style="thin">
        <color rgb="FFC8CEDC"/>
      </bottom>
      <diagonal/>
    </border>
    <border>
      <left/>
      <right/>
      <top style="thin">
        <color rgb="FFC8CEDC"/>
      </top>
      <bottom style="thin">
        <color rgb="FFC8CEDC"/>
      </bottom>
      <diagonal/>
    </border>
    <border>
      <left/>
      <right style="thin">
        <color rgb="FFC8CEDC"/>
      </right>
      <top style="thin">
        <color rgb="FFC8CEDC"/>
      </top>
      <bottom style="thin">
        <color rgb="FFC8CED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8" fillId="0" borderId="0"/>
    <xf numFmtId="44" fontId="18" fillId="0" borderId="0"/>
    <xf numFmtId="9" fontId="18" fillId="0" borderId="0"/>
    <xf numFmtId="41" fontId="18" fillId="0" borderId="0"/>
    <xf numFmtId="42" fontId="18" fillId="0" borderId="0"/>
    <xf numFmtId="0" fontId="19" fillId="0" borderId="0">
      <alignment vertical="center"/>
    </xf>
    <xf numFmtId="0" fontId="20" fillId="0" borderId="0">
      <alignment vertical="center"/>
    </xf>
    <xf numFmtId="0" fontId="21" fillId="18" borderId="9">
      <alignment vertical="center"/>
    </xf>
    <xf numFmtId="0" fontId="22" fillId="0" borderId="0">
      <alignment vertical="center"/>
    </xf>
    <xf numFmtId="0" fontId="23" fillId="0" borderId="0">
      <alignment vertical="center"/>
    </xf>
    <xf numFmtId="0" fontId="24" fillId="0" borderId="0">
      <alignment vertical="center"/>
    </xf>
    <xf numFmtId="0" fontId="25" fillId="0" borderId="10">
      <alignment vertical="center"/>
    </xf>
    <xf numFmtId="0" fontId="26" fillId="0" borderId="10">
      <alignment vertical="center"/>
    </xf>
    <xf numFmtId="0" fontId="27" fillId="0" borderId="11">
      <alignment vertical="center"/>
    </xf>
    <xf numFmtId="0" fontId="27" fillId="0" borderId="0">
      <alignment vertical="center"/>
    </xf>
    <xf numFmtId="0" fontId="28" fillId="19" borderId="12">
      <alignment vertical="center"/>
    </xf>
    <xf numFmtId="0" fontId="29" fillId="20" borderId="13">
      <alignment vertical="center"/>
    </xf>
    <xf numFmtId="0" fontId="30" fillId="20" borderId="12">
      <alignment vertical="center"/>
    </xf>
    <xf numFmtId="0" fontId="31" fillId="21" borderId="14">
      <alignment vertical="center"/>
    </xf>
    <xf numFmtId="0" fontId="32" fillId="0" borderId="15">
      <alignment vertical="center"/>
    </xf>
    <xf numFmtId="0" fontId="33" fillId="0" borderId="16">
      <alignment vertical="center"/>
    </xf>
    <xf numFmtId="0" fontId="34" fillId="22" borderId="0">
      <alignment vertical="center"/>
    </xf>
    <xf numFmtId="0" fontId="35" fillId="23" borderId="0">
      <alignment vertical="center"/>
    </xf>
    <xf numFmtId="0" fontId="36" fillId="24" borderId="0">
      <alignment vertical="center"/>
    </xf>
    <xf numFmtId="0" fontId="37" fillId="25" borderId="0">
      <alignment vertical="center"/>
    </xf>
    <xf numFmtId="0" fontId="38" fillId="26" borderId="0">
      <alignment vertical="center"/>
    </xf>
    <xf numFmtId="0" fontId="38" fillId="27" borderId="0">
      <alignment vertical="center"/>
    </xf>
    <xf numFmtId="0" fontId="37" fillId="28" borderId="0">
      <alignment vertical="center"/>
    </xf>
    <xf numFmtId="0" fontId="37" fillId="29" borderId="0">
      <alignment vertical="center"/>
    </xf>
    <xf numFmtId="0" fontId="38" fillId="30" borderId="0">
      <alignment vertical="center"/>
    </xf>
    <xf numFmtId="0" fontId="38" fillId="31" borderId="0">
      <alignment vertical="center"/>
    </xf>
    <xf numFmtId="0" fontId="37" fillId="32" borderId="0">
      <alignment vertical="center"/>
    </xf>
    <xf numFmtId="0" fontId="37" fillId="33" borderId="0">
      <alignment vertical="center"/>
    </xf>
    <xf numFmtId="0" fontId="38" fillId="34" borderId="0">
      <alignment vertical="center"/>
    </xf>
    <xf numFmtId="0" fontId="38" fillId="35" borderId="0">
      <alignment vertical="center"/>
    </xf>
    <xf numFmtId="0" fontId="37" fillId="36" borderId="0">
      <alignment vertical="center"/>
    </xf>
    <xf numFmtId="0" fontId="37" fillId="37" borderId="0">
      <alignment vertical="center"/>
    </xf>
    <xf numFmtId="0" fontId="38" fillId="38" borderId="0">
      <alignment vertical="center"/>
    </xf>
    <xf numFmtId="0" fontId="38" fillId="39" borderId="0">
      <alignment vertical="center"/>
    </xf>
    <xf numFmtId="0" fontId="37" fillId="40" borderId="0">
      <alignment vertical="center"/>
    </xf>
    <xf numFmtId="0" fontId="37" fillId="41" borderId="0">
      <alignment vertical="center"/>
    </xf>
    <xf numFmtId="0" fontId="38" fillId="42" borderId="0">
      <alignment vertical="center"/>
    </xf>
    <xf numFmtId="0" fontId="38" fillId="43" borderId="0">
      <alignment vertical="center"/>
    </xf>
    <xf numFmtId="0" fontId="37" fillId="44" borderId="0">
      <alignment vertical="center"/>
    </xf>
    <xf numFmtId="0" fontId="37" fillId="45" borderId="0">
      <alignment vertical="center"/>
    </xf>
    <xf numFmtId="0" fontId="38" fillId="46" borderId="0">
      <alignment vertical="center"/>
    </xf>
    <xf numFmtId="0" fontId="38" fillId="47" borderId="0">
      <alignment vertical="center"/>
    </xf>
    <xf numFmtId="0" fontId="37" fillId="48" borderId="0">
      <alignment vertical="center"/>
    </xf>
  </cellStyleXfs>
  <cellXfs count="66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5" fillId="4" borderId="1" xfId="0" applyFont="1" applyFill="1" applyBorder="1" applyAlignment="1">
      <alignment horizontal="left" vertical="center" wrapText="1"/>
    </xf>
    <xf numFmtId="0" fontId="0" fillId="0" borderId="2" xfId="0" applyBorder="1"/>
    <xf numFmtId="0" fontId="4" fillId="0" borderId="1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left" vertical="center" wrapText="1"/>
    </xf>
    <xf numFmtId="0" fontId="0" fillId="0" borderId="3" xfId="0" applyBorder="1"/>
    <xf numFmtId="0" fontId="4" fillId="5" borderId="1" xfId="0" applyFont="1" applyFill="1" applyBorder="1" applyAlignment="1">
      <alignment horizontal="left" vertical="center" wrapText="1"/>
    </xf>
    <xf numFmtId="0" fontId="6" fillId="5" borderId="1" xfId="0" applyFont="1" applyFill="1" applyBorder="1" applyAlignment="1">
      <alignment horizontal="center" vertical="center" wrapText="1"/>
    </xf>
    <xf numFmtId="176" fontId="6" fillId="5" borderId="1" xfId="0" applyNumberFormat="1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left" vertical="center" wrapText="1"/>
    </xf>
    <xf numFmtId="0" fontId="6" fillId="6" borderId="1" xfId="0" applyFont="1" applyFill="1" applyBorder="1" applyAlignment="1">
      <alignment horizontal="center" vertical="center" wrapText="1"/>
    </xf>
    <xf numFmtId="176" fontId="6" fillId="6" borderId="1" xfId="0" applyNumberFormat="1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left" vertical="center" wrapText="1"/>
    </xf>
    <xf numFmtId="0" fontId="7" fillId="7" borderId="1" xfId="0" applyFont="1" applyFill="1" applyBorder="1" applyAlignment="1">
      <alignment horizontal="center" vertical="center" wrapText="1"/>
    </xf>
    <xf numFmtId="176" fontId="7" fillId="7" borderId="1" xfId="0" applyNumberFormat="1" applyFont="1" applyFill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2" fillId="0" borderId="1" xfId="0" applyFont="1" applyBorder="1" applyAlignment="1">
      <alignment horizontal="left" vertical="center" wrapText="1"/>
    </xf>
    <xf numFmtId="0" fontId="0" fillId="0" borderId="1" xfId="0" applyBorder="1"/>
    <xf numFmtId="0" fontId="3" fillId="8" borderId="1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0" fontId="10" fillId="9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10" borderId="1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left" vertical="center" wrapText="1"/>
    </xf>
    <xf numFmtId="0" fontId="6" fillId="11" borderId="1" xfId="0" applyFont="1" applyFill="1" applyBorder="1" applyAlignment="1">
      <alignment horizontal="center" vertical="center" wrapText="1"/>
    </xf>
    <xf numFmtId="2" fontId="6" fillId="11" borderId="1" xfId="0" applyNumberFormat="1" applyFont="1" applyFill="1" applyBorder="1" applyAlignment="1">
      <alignment horizontal="center" vertical="center" wrapText="1"/>
    </xf>
    <xf numFmtId="177" fontId="6" fillId="11" borderId="1" xfId="0" applyNumberFormat="1" applyFont="1" applyFill="1" applyBorder="1" applyAlignment="1">
      <alignment horizontal="center" vertical="center" wrapText="1"/>
    </xf>
    <xf numFmtId="0" fontId="4" fillId="12" borderId="1" xfId="0" applyFont="1" applyFill="1" applyBorder="1" applyAlignment="1">
      <alignment horizontal="left" vertical="center" wrapText="1"/>
    </xf>
    <xf numFmtId="0" fontId="6" fillId="12" borderId="1" xfId="0" applyFont="1" applyFill="1" applyBorder="1" applyAlignment="1">
      <alignment horizontal="center" vertical="center" wrapText="1"/>
    </xf>
    <xf numFmtId="178" fontId="6" fillId="12" borderId="1" xfId="0" applyNumberFormat="1" applyFont="1" applyFill="1" applyBorder="1" applyAlignment="1">
      <alignment horizontal="center" vertical="center" wrapText="1"/>
    </xf>
    <xf numFmtId="1" fontId="6" fillId="12" borderId="1" xfId="0" applyNumberFormat="1" applyFont="1" applyFill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left" vertical="center" wrapText="1"/>
    </xf>
    <xf numFmtId="0" fontId="6" fillId="13" borderId="1" xfId="0" applyFont="1" applyFill="1" applyBorder="1" applyAlignment="1">
      <alignment horizontal="center" vertical="center" wrapText="1"/>
    </xf>
    <xf numFmtId="178" fontId="6" fillId="13" borderId="1" xfId="0" applyNumberFormat="1" applyFont="1" applyFill="1" applyBorder="1" applyAlignment="1">
      <alignment horizontal="center" vertical="center" wrapText="1"/>
    </xf>
    <xf numFmtId="1" fontId="6" fillId="13" borderId="1" xfId="0" applyNumberFormat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left" vertical="center" wrapText="1"/>
    </xf>
    <xf numFmtId="0" fontId="6" fillId="14" borderId="1" xfId="0" applyFont="1" applyFill="1" applyBorder="1" applyAlignment="1">
      <alignment horizontal="center" vertical="center" wrapText="1"/>
    </xf>
    <xf numFmtId="10" fontId="6" fillId="14" borderId="1" xfId="0" applyNumberFormat="1" applyFont="1" applyFill="1" applyBorder="1" applyAlignment="1">
      <alignment horizontal="center" vertical="center" wrapText="1"/>
    </xf>
    <xf numFmtId="0" fontId="12" fillId="14" borderId="1" xfId="0" applyFont="1" applyFill="1" applyBorder="1" applyAlignment="1">
      <alignment horizontal="center" vertical="center" wrapText="1"/>
    </xf>
    <xf numFmtId="0" fontId="4" fillId="15" borderId="1" xfId="0" applyFont="1" applyFill="1" applyBorder="1" applyAlignment="1">
      <alignment horizontal="left" vertical="center" wrapText="1"/>
    </xf>
    <xf numFmtId="0" fontId="5" fillId="15" borderId="1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13" fillId="0" borderId="0" xfId="0" applyFont="1" applyAlignment="1">
      <alignment horizontal="left" vertical="center" wrapText="1"/>
    </xf>
    <xf numFmtId="0" fontId="6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176" fontId="6" fillId="0" borderId="1" xfId="0" applyNumberFormat="1" applyFont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14" fillId="16" borderId="6" xfId="0" applyFont="1" applyFill="1" applyBorder="1" applyAlignment="1">
      <alignment horizontal="center" vertical="center" wrapText="1"/>
    </xf>
    <xf numFmtId="0" fontId="0" fillId="0" borderId="7" xfId="0" applyBorder="1"/>
    <xf numFmtId="0" fontId="0" fillId="0" borderId="8" xfId="0" applyBorder="1"/>
    <xf numFmtId="0" fontId="15" fillId="16" borderId="6" xfId="0" applyFont="1" applyFill="1" applyBorder="1" applyAlignment="1">
      <alignment horizontal="left" vertical="center" wrapText="1"/>
    </xf>
    <xf numFmtId="0" fontId="16" fillId="17" borderId="6" xfId="0" applyFont="1" applyFill="1" applyBorder="1" applyAlignment="1">
      <alignment horizontal="left" vertical="center" wrapText="1"/>
    </xf>
    <xf numFmtId="0" fontId="17" fillId="0" borderId="6" xfId="0" applyFont="1" applyBorder="1" applyAlignment="1">
      <alignment horizontal="lef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A6612A"/>
      <rgbColor rgb="00800080"/>
      <rgbColor rgb="00008080"/>
      <rgbColor rgb="00BFBFBF"/>
      <rgbColor rgb="00808080"/>
      <rgbColor rgb="009999FF"/>
      <rgbColor rgb="00993366"/>
      <rgbColor rgb="00FFF2CC"/>
      <rgbColor rgb="00DDEBF7"/>
      <rgbColor rgb="00660066"/>
      <rgbColor rgb="00FF8080"/>
      <rgbColor rgb="000066CC"/>
      <rgbColor rgb="00D9E1F2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DEEBF7"/>
      <rgbColor rgb="00C6EFCE"/>
      <rgbColor rgb="00FFE699"/>
      <rgbColor rgb="00E2EFDA"/>
      <rgbColor rgb="00EDEDED"/>
      <rgbColor rgb="00F2F2F2"/>
      <rgbColor rgb="00FCE4D6"/>
      <rgbColor rgb="004472C4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843C0C"/>
      <rgbColor rgb="00993366"/>
      <rgbColor rgb="002F5496"/>
      <rgbColor rgb="00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3"/>
  <sheetViews>
    <sheetView tabSelected="1" topLeftCell="A6" workbookViewId="0">
      <selection activeCell="D13" sqref="D13"/>
    </sheetView>
  </sheetViews>
  <sheetFormatPr defaultColWidth="9" defaultRowHeight="14.25" outlineLevelCol="3"/>
  <cols>
    <col min="1" max="1" width="20" customWidth="1"/>
    <col min="2" max="2" width="34" customWidth="1"/>
    <col min="3" max="3" width="20" customWidth="1"/>
    <col min="4" max="4" width="34" customWidth="1"/>
  </cols>
  <sheetData>
    <row r="1" ht="18.35" spans="1:4">
      <c r="A1" s="60" t="s">
        <v>0</v>
      </c>
      <c r="B1" s="61"/>
      <c r="C1" s="61"/>
      <c r="D1" s="62"/>
    </row>
    <row r="2" ht="16.85" spans="1:4">
      <c r="A2" s="63" t="s">
        <v>1</v>
      </c>
      <c r="B2" s="61"/>
      <c r="C2" s="61"/>
      <c r="D2" s="62"/>
    </row>
    <row r="3" ht="58" customHeight="1" spans="1:4">
      <c r="A3" s="64" t="s">
        <v>2</v>
      </c>
      <c r="B3" s="65" t="s">
        <v>3</v>
      </c>
      <c r="C3" s="61"/>
      <c r="D3" s="62"/>
    </row>
    <row r="4" ht="40" customHeight="1" spans="1:4">
      <c r="A4" s="64" t="s">
        <v>4</v>
      </c>
      <c r="B4" s="65" t="s">
        <v>5</v>
      </c>
      <c r="C4" s="61"/>
      <c r="D4" s="62"/>
    </row>
    <row r="5" ht="16.85" spans="1:4">
      <c r="A5" s="63" t="s">
        <v>6</v>
      </c>
      <c r="B5" s="61"/>
      <c r="C5" s="61"/>
      <c r="D5" s="62"/>
    </row>
    <row r="6" ht="56" customHeight="1" spans="1:4">
      <c r="A6" s="64" t="s">
        <v>7</v>
      </c>
      <c r="B6" s="65" t="s">
        <v>8</v>
      </c>
      <c r="C6" s="64" t="s">
        <v>9</v>
      </c>
      <c r="D6" s="65" t="s">
        <v>8</v>
      </c>
    </row>
    <row r="7" ht="16.85" spans="1:4">
      <c r="A7" s="63" t="s">
        <v>10</v>
      </c>
      <c r="B7" s="61"/>
      <c r="C7" s="61"/>
      <c r="D7" s="62"/>
    </row>
    <row r="8" ht="110" customHeight="1" spans="1:4">
      <c r="A8" s="64" t="s">
        <v>11</v>
      </c>
      <c r="B8" s="65" t="s">
        <v>12</v>
      </c>
      <c r="C8" s="61"/>
      <c r="D8" s="62"/>
    </row>
    <row r="9" ht="72" customHeight="1" spans="1:4">
      <c r="A9" s="64" t="s">
        <v>13</v>
      </c>
      <c r="B9" s="65" t="s">
        <v>8</v>
      </c>
      <c r="C9" s="64" t="s">
        <v>14</v>
      </c>
      <c r="D9" s="65" t="s">
        <v>15</v>
      </c>
    </row>
    <row r="10" ht="58" customHeight="1" spans="1:4">
      <c r="A10" s="64" t="s">
        <v>16</v>
      </c>
      <c r="B10" s="65" t="s">
        <v>17</v>
      </c>
      <c r="C10" s="61"/>
      <c r="D10" s="62"/>
    </row>
    <row r="11" ht="16.85" spans="1:4">
      <c r="A11" s="63" t="s">
        <v>18</v>
      </c>
      <c r="B11" s="61"/>
      <c r="C11" s="61"/>
      <c r="D11" s="62"/>
    </row>
    <row r="12" ht="70" customHeight="1" spans="1:4">
      <c r="A12" s="64" t="s">
        <v>19</v>
      </c>
      <c r="B12" s="65" t="s">
        <v>20</v>
      </c>
      <c r="C12" s="64" t="s">
        <v>21</v>
      </c>
      <c r="D12" s="65" t="s">
        <v>22</v>
      </c>
    </row>
    <row r="13" ht="44" customHeight="1" spans="1:4">
      <c r="A13" s="64" t="s">
        <v>23</v>
      </c>
      <c r="B13" s="65" t="s">
        <v>24</v>
      </c>
      <c r="C13" s="64" t="s">
        <v>25</v>
      </c>
      <c r="D13" s="65" t="s">
        <v>26</v>
      </c>
    </row>
  </sheetData>
  <mergeCells count="9">
    <mergeCell ref="A1:D1"/>
    <mergeCell ref="A2:D2"/>
    <mergeCell ref="B3:D3"/>
    <mergeCell ref="B4:D4"/>
    <mergeCell ref="A5:D5"/>
    <mergeCell ref="A7:D7"/>
    <mergeCell ref="B8:D8"/>
    <mergeCell ref="B10:D10"/>
    <mergeCell ref="A11:D11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4"/>
  <sheetViews>
    <sheetView workbookViewId="0">
      <pane xSplit="1" ySplit="3" topLeftCell="B4" activePane="bottomRight" state="frozen"/>
      <selection/>
      <selection pane="topRight"/>
      <selection pane="bottomLeft"/>
      <selection pane="bottomRight" activeCell="A1" sqref="A1:G1"/>
    </sheetView>
  </sheetViews>
  <sheetFormatPr defaultColWidth="8.68141592920354" defaultRowHeight="14.25" outlineLevelCol="6"/>
  <cols>
    <col min="1" max="1" width="18" customWidth="1"/>
    <col min="2" max="2" width="16" customWidth="1"/>
    <col min="6" max="6" width="20" customWidth="1"/>
  </cols>
  <sheetData>
    <row r="1" ht="15.75" customHeight="1" spans="1:7">
      <c r="A1" s="1" t="s">
        <v>27</v>
      </c>
    </row>
    <row r="2" ht="42" customHeight="1" spans="1:7">
      <c r="A2" s="53" t="s">
        <v>28</v>
      </c>
    </row>
    <row r="3" ht="33.75" customHeight="1" spans="1:7">
      <c r="A3" s="3" t="s">
        <v>29</v>
      </c>
      <c r="B3" s="3" t="s">
        <v>30</v>
      </c>
      <c r="C3" s="3" t="s">
        <v>31</v>
      </c>
      <c r="D3" s="3" t="s">
        <v>32</v>
      </c>
      <c r="E3" s="3" t="s">
        <v>33</v>
      </c>
      <c r="F3" s="3" t="s">
        <v>34</v>
      </c>
      <c r="G3" s="3" t="s">
        <v>35</v>
      </c>
    </row>
    <row r="4" ht="15" customHeight="1" spans="1:7">
      <c r="A4" s="9" t="s">
        <v>36</v>
      </c>
      <c r="B4" s="54">
        <v>802</v>
      </c>
      <c r="C4" s="54">
        <v>176</v>
      </c>
      <c r="D4" s="54">
        <v>108</v>
      </c>
      <c r="E4" s="54">
        <v>518</v>
      </c>
      <c r="F4" s="55" t="s">
        <v>37</v>
      </c>
      <c r="G4" s="55" t="s">
        <v>37</v>
      </c>
    </row>
    <row r="5" ht="23.25" customHeight="1" spans="1:7">
      <c r="A5" s="9" t="s">
        <v>38</v>
      </c>
      <c r="B5" s="55">
        <v>802</v>
      </c>
      <c r="C5" s="55">
        <v>176</v>
      </c>
      <c r="D5" s="55">
        <v>108</v>
      </c>
      <c r="E5" s="55">
        <v>518</v>
      </c>
      <c r="F5" s="55" t="s">
        <v>39</v>
      </c>
      <c r="G5" s="55" t="s">
        <v>39</v>
      </c>
    </row>
    <row r="6" ht="15" customHeight="1" spans="1:7">
      <c r="A6" s="56" t="s">
        <v>40</v>
      </c>
      <c r="B6" s="57">
        <f>ABS(B4-B5)/ABS(B4)</f>
        <v>0</v>
      </c>
      <c r="C6" s="57">
        <f>ABS(C4-C5)/ABS(C4)</f>
        <v>0</v>
      </c>
      <c r="D6" s="57">
        <f>ABS(D4-D5)/ABS(D4)</f>
        <v>0</v>
      </c>
      <c r="E6" s="57">
        <f>ABS(E4-E5)/ABS(E4)</f>
        <v>0</v>
      </c>
      <c r="F6" s="15" t="s">
        <v>41</v>
      </c>
      <c r="G6" s="15" t="s">
        <v>41</v>
      </c>
    </row>
    <row r="7" ht="15" customHeight="1" spans="1:7">
      <c r="A7" s="9" t="s">
        <v>42</v>
      </c>
      <c r="B7" s="58" t="s">
        <v>43</v>
      </c>
      <c r="C7" s="58" t="s">
        <v>43</v>
      </c>
      <c r="D7" s="58" t="s">
        <v>43</v>
      </c>
      <c r="E7" s="58" t="s">
        <v>43</v>
      </c>
      <c r="F7" s="59" t="s">
        <v>44</v>
      </c>
      <c r="G7" s="59" t="s">
        <v>44</v>
      </c>
    </row>
    <row r="9" ht="15" customHeight="1" spans="1:7">
      <c r="A9" s="51"/>
    </row>
    <row r="10" ht="15" customHeight="1" spans="1:7">
      <c r="A10" s="52" t="s">
        <v>45</v>
      </c>
    </row>
    <row r="11" ht="15" customHeight="1" spans="1:7">
      <c r="A11" s="2" t="s">
        <v>46</v>
      </c>
    </row>
    <row r="12" ht="15" customHeight="1" spans="1:7">
      <c r="A12" s="2" t="s">
        <v>47</v>
      </c>
    </row>
    <row r="13" ht="15" customHeight="1" spans="1:7">
      <c r="A13" s="51" t="s">
        <v>48</v>
      </c>
    </row>
    <row r="14" ht="15" customHeight="1" spans="1:7">
      <c r="A14" s="51" t="s">
        <v>49</v>
      </c>
    </row>
  </sheetData>
  <mergeCells count="8">
    <mergeCell ref="A1:G1"/>
    <mergeCell ref="A2:G2"/>
    <mergeCell ref="A9:G9"/>
    <mergeCell ref="A10:G10"/>
    <mergeCell ref="A11:G11"/>
    <mergeCell ref="A12:G12"/>
    <mergeCell ref="A13:G13"/>
    <mergeCell ref="A14:G14"/>
  </mergeCells>
  <pageMargins left="0.75" right="0.75" top="1" bottom="1" header="0.511811023622047" footer="0.511811023622047"/>
  <pageSetup paperSize="9" orientation="portrait" horizontalDpi="300" verticalDpi="3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19"/>
  <sheetViews>
    <sheetView workbookViewId="0">
      <pane xSplit="1" ySplit="4" topLeftCell="B5" activePane="bottomRight" state="frozen"/>
      <selection/>
      <selection pane="topRight"/>
      <selection pane="bottomLeft"/>
      <selection pane="bottomRight" activeCell="A1" sqref="A1:U1"/>
    </sheetView>
  </sheetViews>
  <sheetFormatPr defaultColWidth="8.68141592920354" defaultRowHeight="14.25"/>
  <cols>
    <col min="1" max="1" width="24" customWidth="1"/>
    <col min="2" max="2" width="11" customWidth="1"/>
    <col min="5" max="5" width="10" customWidth="1"/>
    <col min="6" max="6" width="11" customWidth="1"/>
    <col min="9" max="9" width="10" customWidth="1"/>
    <col min="10" max="10" width="11" customWidth="1"/>
    <col min="13" max="13" width="10" customWidth="1"/>
    <col min="14" max="14" width="11" customWidth="1"/>
    <col min="17" max="17" width="10" customWidth="1"/>
    <col min="18" max="18" width="11" customWidth="1"/>
    <col min="21" max="21" width="10" customWidth="1"/>
  </cols>
  <sheetData>
    <row r="1" ht="15.75" customHeight="1" spans="1:21">
      <c r="A1" s="23" t="s">
        <v>50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5"/>
    </row>
    <row r="2" ht="39.75" customHeight="1" spans="1:21">
      <c r="A2" s="26" t="s">
        <v>51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5"/>
    </row>
    <row r="3" ht="24" customHeight="1" spans="1:21">
      <c r="A3" s="27"/>
      <c r="B3" s="28" t="s">
        <v>52</v>
      </c>
      <c r="C3" s="24"/>
      <c r="D3" s="24"/>
      <c r="E3" s="25"/>
      <c r="F3" s="29" t="s">
        <v>53</v>
      </c>
      <c r="G3" s="24"/>
      <c r="H3" s="24"/>
      <c r="I3" s="25"/>
      <c r="J3" s="29" t="s">
        <v>54</v>
      </c>
      <c r="K3" s="24"/>
      <c r="L3" s="24"/>
      <c r="M3" s="25"/>
      <c r="N3" s="29" t="s">
        <v>55</v>
      </c>
      <c r="O3" s="24"/>
      <c r="P3" s="24"/>
      <c r="Q3" s="25"/>
      <c r="R3" s="30" t="s">
        <v>56</v>
      </c>
      <c r="S3" s="24"/>
      <c r="T3" s="24"/>
      <c r="U3" s="25"/>
    </row>
    <row r="4" ht="30" customHeight="1" spans="1:21">
      <c r="A4" s="27"/>
      <c r="B4" s="31" t="s">
        <v>57</v>
      </c>
      <c r="C4" s="31" t="s">
        <v>58</v>
      </c>
      <c r="D4" s="31" t="s">
        <v>59</v>
      </c>
      <c r="E4" s="31" t="s">
        <v>60</v>
      </c>
      <c r="F4" s="31" t="s">
        <v>57</v>
      </c>
      <c r="G4" s="31" t="s">
        <v>58</v>
      </c>
      <c r="H4" s="31" t="s">
        <v>59</v>
      </c>
      <c r="I4" s="31" t="s">
        <v>60</v>
      </c>
      <c r="J4" s="31" t="s">
        <v>57</v>
      </c>
      <c r="K4" s="31" t="s">
        <v>58</v>
      </c>
      <c r="L4" s="31" t="s">
        <v>59</v>
      </c>
      <c r="M4" s="31" t="s">
        <v>60</v>
      </c>
      <c r="N4" s="31" t="s">
        <v>57</v>
      </c>
      <c r="O4" s="31" t="s">
        <v>58</v>
      </c>
      <c r="P4" s="31" t="s">
        <v>59</v>
      </c>
      <c r="Q4" s="31" t="s">
        <v>60</v>
      </c>
      <c r="R4" s="32" t="s">
        <v>57</v>
      </c>
      <c r="S4" s="32" t="s">
        <v>61</v>
      </c>
      <c r="T4" s="32" t="s">
        <v>62</v>
      </c>
      <c r="U4" s="32" t="s">
        <v>60</v>
      </c>
    </row>
    <row r="5" ht="15" customHeight="1" spans="1:21">
      <c r="A5" s="33" t="s">
        <v>63</v>
      </c>
      <c r="B5" s="34">
        <v>802</v>
      </c>
      <c r="C5" s="35">
        <v>4.43</v>
      </c>
      <c r="D5" s="36">
        <v>0.96</v>
      </c>
      <c r="E5" s="34" t="s">
        <v>64</v>
      </c>
      <c r="F5" s="34">
        <v>284</v>
      </c>
      <c r="G5" s="35">
        <v>1.95</v>
      </c>
      <c r="H5" s="36">
        <v>0.65</v>
      </c>
      <c r="I5" s="34" t="s">
        <v>64</v>
      </c>
      <c r="J5" s="34">
        <v>694</v>
      </c>
      <c r="K5" s="35">
        <v>8.34</v>
      </c>
      <c r="L5" s="36">
        <v>0.675</v>
      </c>
      <c r="M5" s="34" t="s">
        <v>64</v>
      </c>
      <c r="N5" s="34">
        <v>626</v>
      </c>
      <c r="O5" s="35">
        <v>5.62</v>
      </c>
      <c r="P5" s="36">
        <v>0.614</v>
      </c>
      <c r="Q5" s="34" t="s">
        <v>64</v>
      </c>
      <c r="R5" s="34">
        <v>694</v>
      </c>
      <c r="S5" s="36">
        <v>1.292</v>
      </c>
      <c r="T5" s="34" t="s">
        <v>41</v>
      </c>
      <c r="U5" s="34" t="s">
        <v>64</v>
      </c>
    </row>
    <row r="6" ht="15" customHeight="1" spans="1:21">
      <c r="A6" s="37" t="s">
        <v>65</v>
      </c>
      <c r="B6" s="38">
        <v>802</v>
      </c>
      <c r="C6" s="39">
        <v>4.4308</v>
      </c>
      <c r="D6" s="39">
        <v>0.9596</v>
      </c>
      <c r="E6" s="38" t="s">
        <v>64</v>
      </c>
      <c r="F6" s="38">
        <v>284</v>
      </c>
      <c r="G6" s="39">
        <v>1.9516</v>
      </c>
      <c r="H6" s="39">
        <v>0.65</v>
      </c>
      <c r="I6" s="38" t="s">
        <v>64</v>
      </c>
      <c r="J6" s="38">
        <v>694</v>
      </c>
      <c r="K6" s="39">
        <v>8.3412</v>
      </c>
      <c r="L6" s="39">
        <v>0.6747</v>
      </c>
      <c r="M6" s="38" t="s">
        <v>64</v>
      </c>
      <c r="N6" s="38">
        <v>626</v>
      </c>
      <c r="O6" s="39">
        <v>5.6191</v>
      </c>
      <c r="P6" s="39">
        <v>0.6142</v>
      </c>
      <c r="Q6" s="38" t="s">
        <v>64</v>
      </c>
      <c r="R6" s="38">
        <v>694</v>
      </c>
      <c r="S6" s="40" t="s">
        <v>66</v>
      </c>
      <c r="T6" s="38" t="s">
        <v>41</v>
      </c>
      <c r="U6" s="38" t="s">
        <v>64</v>
      </c>
    </row>
    <row r="7" ht="15" customHeight="1" spans="1:21">
      <c r="A7" s="41" t="s">
        <v>67</v>
      </c>
      <c r="B7" s="42">
        <v>802</v>
      </c>
      <c r="C7" s="43">
        <v>4.4308</v>
      </c>
      <c r="D7" s="43">
        <v>0.9596</v>
      </c>
      <c r="E7" s="42" t="s">
        <v>64</v>
      </c>
      <c r="F7" s="42">
        <v>284</v>
      </c>
      <c r="G7" s="43">
        <v>1.9516</v>
      </c>
      <c r="H7" s="43">
        <v>0.65</v>
      </c>
      <c r="I7" s="42" t="s">
        <v>64</v>
      </c>
      <c r="J7" s="42">
        <v>694</v>
      </c>
      <c r="K7" s="43">
        <v>8.3412</v>
      </c>
      <c r="L7" s="43">
        <v>0.6747</v>
      </c>
      <c r="M7" s="42" t="s">
        <v>64</v>
      </c>
      <c r="N7" s="42">
        <v>626</v>
      </c>
      <c r="O7" s="43">
        <v>5.6191</v>
      </c>
      <c r="P7" s="43">
        <v>0.6142</v>
      </c>
      <c r="Q7" s="42" t="s">
        <v>64</v>
      </c>
      <c r="R7" s="42">
        <v>694</v>
      </c>
      <c r="S7" s="44" t="s">
        <v>66</v>
      </c>
      <c r="T7" s="42" t="s">
        <v>41</v>
      </c>
      <c r="U7" s="42" t="s">
        <v>64</v>
      </c>
    </row>
    <row r="8" ht="15" customHeight="1" spans="1:21">
      <c r="A8" s="45" t="s">
        <v>68</v>
      </c>
      <c r="B8" s="46" t="s">
        <v>69</v>
      </c>
      <c r="C8" s="47">
        <f>ABS(C5-C6)/ABS(C5)</f>
        <v>0.00018058690744919</v>
      </c>
      <c r="D8" s="47">
        <f>ABS(D5-D6)/ABS(D5)</f>
        <v>0.000416666666666621</v>
      </c>
      <c r="E8" s="46" t="s">
        <v>70</v>
      </c>
      <c r="F8" s="46" t="s">
        <v>69</v>
      </c>
      <c r="G8" s="47">
        <f>ABS(G5-G6)/ABS(G5)</f>
        <v>0.000820512820512844</v>
      </c>
      <c r="H8" s="47">
        <f>ABS(H5-H6)/ABS(H5)</f>
        <v>0</v>
      </c>
      <c r="I8" s="46" t="s">
        <v>70</v>
      </c>
      <c r="J8" s="46" t="s">
        <v>69</v>
      </c>
      <c r="K8" s="47">
        <f>ABS(K5-K6)/ABS(K5)</f>
        <v>0.000143884892086422</v>
      </c>
      <c r="L8" s="47">
        <f>ABS(L5-L6)/ABS(L5)</f>
        <v>0.00044444444444456</v>
      </c>
      <c r="M8" s="46" t="s">
        <v>70</v>
      </c>
      <c r="N8" s="46" t="s">
        <v>69</v>
      </c>
      <c r="O8" s="47">
        <f>ABS(O5-O6)/ABS(O5)</f>
        <v>0.000160142348754391</v>
      </c>
      <c r="P8" s="47">
        <f>ABS(P5-P6)/ABS(P5)</f>
        <v>0.000325732899022765</v>
      </c>
      <c r="Q8" s="46" t="s">
        <v>70</v>
      </c>
      <c r="R8" s="46" t="s">
        <v>69</v>
      </c>
      <c r="S8" s="48" t="s">
        <v>71</v>
      </c>
      <c r="T8" s="46" t="s">
        <v>41</v>
      </c>
      <c r="U8" s="46" t="s">
        <v>70</v>
      </c>
    </row>
    <row r="9" ht="15" customHeight="1" spans="1:21">
      <c r="A9" s="49" t="s">
        <v>72</v>
      </c>
      <c r="B9" s="50" t="s">
        <v>73</v>
      </c>
      <c r="C9" s="24"/>
      <c r="D9" s="24"/>
      <c r="E9" s="25"/>
      <c r="F9" s="50" t="s">
        <v>73</v>
      </c>
      <c r="G9" s="24"/>
      <c r="H9" s="24"/>
      <c r="I9" s="25"/>
      <c r="J9" s="50" t="s">
        <v>73</v>
      </c>
      <c r="K9" s="24"/>
      <c r="L9" s="24"/>
      <c r="M9" s="25"/>
      <c r="N9" s="50" t="s">
        <v>73</v>
      </c>
      <c r="O9" s="24"/>
      <c r="P9" s="24"/>
      <c r="Q9" s="25"/>
      <c r="R9" s="50" t="s">
        <v>74</v>
      </c>
      <c r="S9" s="24"/>
      <c r="T9" s="24"/>
      <c r="U9" s="25"/>
    </row>
    <row r="11" ht="15" customHeight="1" spans="1:21">
      <c r="A11" s="51"/>
    </row>
    <row r="12" ht="15" customHeight="1" spans="1:21">
      <c r="A12" s="52" t="s">
        <v>75</v>
      </c>
    </row>
    <row r="13" ht="15" customHeight="1" spans="1:21">
      <c r="A13" s="2" t="s">
        <v>76</v>
      </c>
    </row>
    <row r="14" ht="15" customHeight="1" spans="1:21">
      <c r="A14" s="51" t="s">
        <v>77</v>
      </c>
    </row>
    <row r="15" ht="15" customHeight="1" spans="1:21">
      <c r="A15" s="51" t="s">
        <v>78</v>
      </c>
    </row>
    <row r="16" ht="15" customHeight="1" spans="1:21">
      <c r="A16" s="2" t="s">
        <v>79</v>
      </c>
    </row>
    <row r="17" ht="15" customHeight="1" spans="1:1">
      <c r="A17" s="51" t="s">
        <v>80</v>
      </c>
    </row>
    <row r="18" ht="15" customHeight="1" spans="1:1">
      <c r="A18" s="2" t="s">
        <v>81</v>
      </c>
    </row>
    <row r="19" ht="15" customHeight="1" spans="1:1">
      <c r="A19" s="51" t="s">
        <v>82</v>
      </c>
    </row>
  </sheetData>
  <mergeCells count="21">
    <mergeCell ref="A1:U1"/>
    <mergeCell ref="A2:U2"/>
    <mergeCell ref="B3:E3"/>
    <mergeCell ref="F3:I3"/>
    <mergeCell ref="J3:M3"/>
    <mergeCell ref="N3:Q3"/>
    <mergeCell ref="R3:U3"/>
    <mergeCell ref="B9:E9"/>
    <mergeCell ref="F9:I9"/>
    <mergeCell ref="J9:M9"/>
    <mergeCell ref="N9:Q9"/>
    <mergeCell ref="R9:U9"/>
    <mergeCell ref="A11:U11"/>
    <mergeCell ref="A12:U12"/>
    <mergeCell ref="A13:U13"/>
    <mergeCell ref="A14:U14"/>
    <mergeCell ref="A15:U15"/>
    <mergeCell ref="A16:U16"/>
    <mergeCell ref="A17:U17"/>
    <mergeCell ref="A18:U18"/>
    <mergeCell ref="A19:U19"/>
  </mergeCells>
  <pageMargins left="0.75" right="0.75" top="1" bottom="1" header="0.511811023622047" footer="0.511811023622047"/>
  <pageSetup paperSize="9" orientation="portrait" horizontalDpi="300" verticalDpi="30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3"/>
  <sheetViews>
    <sheetView workbookViewId="0">
      <selection activeCell="A1" sqref="A1:C1"/>
    </sheetView>
  </sheetViews>
  <sheetFormatPr defaultColWidth="8.68141592920354" defaultRowHeight="14.25" outlineLevelCol="2"/>
  <cols>
    <col min="1" max="1" width="30" customWidth="1"/>
    <col min="2" max="3" width="12" customWidth="1"/>
  </cols>
  <sheetData>
    <row r="1" ht="31.3" customHeight="1" spans="1:3">
      <c r="A1" s="1" t="s">
        <v>83</v>
      </c>
    </row>
    <row r="2" ht="22.35" customHeight="1" spans="1:3">
      <c r="A2" s="2" t="s">
        <v>84</v>
      </c>
    </row>
    <row r="3" spans="1:3">
      <c r="A3" s="3" t="s">
        <v>85</v>
      </c>
      <c r="B3" s="3" t="s">
        <v>86</v>
      </c>
      <c r="C3" s="3" t="s">
        <v>87</v>
      </c>
    </row>
    <row r="4" spans="1:3">
      <c r="A4" s="11" t="s">
        <v>88</v>
      </c>
      <c r="B4" s="12">
        <v>14</v>
      </c>
      <c r="C4" s="13">
        <f t="shared" ref="C4:C9" si="0">B4/$B$9</f>
        <v>1</v>
      </c>
    </row>
    <row r="5" spans="1:3">
      <c r="A5" s="14" t="s">
        <v>89</v>
      </c>
      <c r="B5" s="15">
        <v>0</v>
      </c>
      <c r="C5" s="16">
        <f t="shared" si="0"/>
        <v>0</v>
      </c>
    </row>
    <row r="6" spans="1:3">
      <c r="A6" s="14" t="s">
        <v>90</v>
      </c>
      <c r="B6" s="15">
        <v>0</v>
      </c>
      <c r="C6" s="16">
        <f t="shared" si="0"/>
        <v>0</v>
      </c>
    </row>
    <row r="7" spans="1:3">
      <c r="A7" s="14" t="s">
        <v>91</v>
      </c>
      <c r="B7" s="15">
        <v>0</v>
      </c>
      <c r="C7" s="16">
        <f t="shared" si="0"/>
        <v>0</v>
      </c>
    </row>
    <row r="8" spans="1:3">
      <c r="A8" s="14" t="s">
        <v>92</v>
      </c>
      <c r="B8" s="15">
        <v>0</v>
      </c>
      <c r="C8" s="16">
        <f t="shared" si="0"/>
        <v>0</v>
      </c>
    </row>
    <row r="9" spans="1:3">
      <c r="A9" s="17" t="s">
        <v>93</v>
      </c>
      <c r="B9" s="18">
        <f>SUM(B4:B8)</f>
        <v>14</v>
      </c>
      <c r="C9" s="19">
        <f t="shared" si="0"/>
        <v>1</v>
      </c>
    </row>
    <row r="11" ht="15" customHeight="1" spans="1:3">
      <c r="A11" s="20" t="s">
        <v>75</v>
      </c>
    </row>
    <row r="12" ht="22.35" customHeight="1" spans="1:3">
      <c r="A12" s="21" t="s">
        <v>94</v>
      </c>
    </row>
    <row r="13" ht="32.8" customHeight="1" spans="1:3">
      <c r="A13" s="22" t="s">
        <v>95</v>
      </c>
    </row>
    <row r="14" ht="22.35" customHeight="1" spans="1:3">
      <c r="A14" s="22" t="s">
        <v>96</v>
      </c>
    </row>
    <row r="15" ht="22.35" customHeight="1" spans="1:3">
      <c r="A15" s="21" t="s">
        <v>97</v>
      </c>
    </row>
    <row r="16" ht="15" customHeight="1" spans="1:3">
      <c r="A16" s="21" t="s">
        <v>98</v>
      </c>
    </row>
    <row r="18" ht="31.3" customHeight="1" spans="1:3">
      <c r="A18" s="1" t="s">
        <v>99</v>
      </c>
    </row>
    <row r="19" ht="32.8" customHeight="1" spans="1:3">
      <c r="A19" s="2" t="s">
        <v>100</v>
      </c>
    </row>
    <row r="20" spans="1:3">
      <c r="A20" s="3" t="s">
        <v>85</v>
      </c>
      <c r="B20" s="3" t="s">
        <v>86</v>
      </c>
      <c r="C20" s="3" t="s">
        <v>87</v>
      </c>
    </row>
    <row r="21" spans="1:3">
      <c r="A21" s="11" t="s">
        <v>88</v>
      </c>
      <c r="B21" s="12">
        <v>14</v>
      </c>
      <c r="C21" s="13">
        <f t="shared" ref="C21:C26" si="1">B21/$B$26</f>
        <v>1</v>
      </c>
    </row>
    <row r="22" spans="1:3">
      <c r="A22" s="14" t="s">
        <v>89</v>
      </c>
      <c r="B22" s="15">
        <v>0</v>
      </c>
      <c r="C22" s="16">
        <f t="shared" si="1"/>
        <v>0</v>
      </c>
    </row>
    <row r="23" spans="1:3">
      <c r="A23" s="14" t="s">
        <v>90</v>
      </c>
      <c r="B23" s="15">
        <v>0</v>
      </c>
      <c r="C23" s="16">
        <f t="shared" si="1"/>
        <v>0</v>
      </c>
    </row>
    <row r="24" spans="1:3">
      <c r="A24" s="14" t="s">
        <v>91</v>
      </c>
      <c r="B24" s="15">
        <v>0</v>
      </c>
      <c r="C24" s="16">
        <f t="shared" si="1"/>
        <v>0</v>
      </c>
    </row>
    <row r="25" spans="1:3">
      <c r="A25" s="14" t="s">
        <v>92</v>
      </c>
      <c r="B25" s="15">
        <v>0</v>
      </c>
      <c r="C25" s="16">
        <f t="shared" si="1"/>
        <v>0</v>
      </c>
    </row>
    <row r="26" spans="1:3">
      <c r="A26" s="17" t="s">
        <v>93</v>
      </c>
      <c r="B26" s="18">
        <f>SUM(B21:B25)</f>
        <v>14</v>
      </c>
      <c r="C26" s="19">
        <f t="shared" si="1"/>
        <v>1</v>
      </c>
    </row>
    <row r="28" ht="15" customHeight="1" spans="1:3">
      <c r="A28" s="20" t="s">
        <v>75</v>
      </c>
    </row>
    <row r="29" ht="22.35" customHeight="1" spans="1:3">
      <c r="A29" s="21" t="s">
        <v>94</v>
      </c>
    </row>
    <row r="30" ht="32.8" customHeight="1" spans="1:3">
      <c r="A30" s="22" t="s">
        <v>95</v>
      </c>
    </row>
    <row r="31" ht="22.35" customHeight="1" spans="1:3">
      <c r="A31" s="22" t="s">
        <v>96</v>
      </c>
    </row>
    <row r="32" ht="22.35" customHeight="1" spans="1:3">
      <c r="A32" s="21" t="s">
        <v>97</v>
      </c>
    </row>
    <row r="33" ht="15" customHeight="1" spans="1:1">
      <c r="A33" s="21" t="s">
        <v>98</v>
      </c>
    </row>
  </sheetData>
  <mergeCells count="16">
    <mergeCell ref="A1:C1"/>
    <mergeCell ref="A2:C2"/>
    <mergeCell ref="A11:C11"/>
    <mergeCell ref="A12:C12"/>
    <mergeCell ref="A13:C13"/>
    <mergeCell ref="A14:C14"/>
    <mergeCell ref="A15:C15"/>
    <mergeCell ref="A16:C16"/>
    <mergeCell ref="A18:C18"/>
    <mergeCell ref="A19:C19"/>
    <mergeCell ref="A28:C28"/>
    <mergeCell ref="A29:C29"/>
    <mergeCell ref="A30:C30"/>
    <mergeCell ref="A31:C31"/>
    <mergeCell ref="A32:C32"/>
    <mergeCell ref="A33:C33"/>
  </mergeCells>
  <pageMargins left="0.75" right="0.75" top="1" bottom="1" header="0.511811023622047" footer="0.511811023622047"/>
  <pageSetup paperSize="9" orientation="portrait" horizontalDpi="300" verticalDpi="300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3"/>
  <sheetViews>
    <sheetView workbookViewId="0">
      <selection activeCell="A1" sqref="A1:C1"/>
    </sheetView>
  </sheetViews>
  <sheetFormatPr defaultColWidth="8.68141592920354" defaultRowHeight="14.25" outlineLevelCol="2"/>
  <cols>
    <col min="1" max="1" width="30" customWidth="1"/>
    <col min="2" max="3" width="12" customWidth="1"/>
  </cols>
  <sheetData>
    <row r="1" ht="31.3" customHeight="1" spans="1:3">
      <c r="A1" s="1" t="s">
        <v>101</v>
      </c>
    </row>
    <row r="2" ht="22.35" customHeight="1" spans="1:3">
      <c r="A2" s="2" t="s">
        <v>102</v>
      </c>
    </row>
    <row r="3" spans="1:3">
      <c r="A3" s="3" t="s">
        <v>103</v>
      </c>
      <c r="B3" s="3" t="s">
        <v>86</v>
      </c>
      <c r="C3" s="3" t="s">
        <v>87</v>
      </c>
    </row>
    <row r="4" spans="1:3">
      <c r="A4" s="11" t="s">
        <v>104</v>
      </c>
      <c r="B4" s="12">
        <v>5</v>
      </c>
      <c r="C4" s="13">
        <f>B4/$B$6</f>
        <v>1</v>
      </c>
    </row>
    <row r="5" spans="1:3">
      <c r="A5" s="14" t="s">
        <v>105</v>
      </c>
      <c r="B5" s="15">
        <v>0</v>
      </c>
      <c r="C5" s="16">
        <f>B5/$B$6</f>
        <v>0</v>
      </c>
    </row>
    <row r="6" spans="1:3">
      <c r="A6" s="17" t="s">
        <v>93</v>
      </c>
      <c r="B6" s="18">
        <f>SUM(B4:B5)</f>
        <v>5</v>
      </c>
      <c r="C6" s="19">
        <f>B6/$B$6</f>
        <v>1</v>
      </c>
    </row>
    <row r="8" ht="15" customHeight="1" spans="1:3">
      <c r="A8" s="20" t="s">
        <v>75</v>
      </c>
    </row>
    <row r="9" ht="22.35" customHeight="1" spans="1:3">
      <c r="A9" s="21" t="s">
        <v>106</v>
      </c>
    </row>
    <row r="10" ht="15" customHeight="1" spans="1:3">
      <c r="A10" s="22" t="s">
        <v>107</v>
      </c>
    </row>
    <row r="11" ht="15" customHeight="1" spans="1:3">
      <c r="A11" s="21" t="s">
        <v>108</v>
      </c>
    </row>
    <row r="12" ht="15" customHeight="1" spans="1:3">
      <c r="A12" s="21" t="s">
        <v>109</v>
      </c>
    </row>
    <row r="13" ht="15" customHeight="1" spans="1:3">
      <c r="A13" s="21" t="s">
        <v>110</v>
      </c>
    </row>
    <row r="14" ht="15" customHeight="1" spans="1:3">
      <c r="A14" s="21" t="s">
        <v>111</v>
      </c>
    </row>
    <row r="15" ht="15" customHeight="1" spans="1:3">
      <c r="A15" s="21" t="s">
        <v>112</v>
      </c>
    </row>
    <row r="16" ht="15" customHeight="1" spans="1:3">
      <c r="A16" s="21" t="s">
        <v>113</v>
      </c>
    </row>
    <row r="18" ht="31.3" customHeight="1" spans="1:3">
      <c r="A18" s="1" t="s">
        <v>114</v>
      </c>
    </row>
    <row r="19" ht="32.8" customHeight="1" spans="1:3">
      <c r="A19" s="2" t="s">
        <v>115</v>
      </c>
    </row>
    <row r="20" spans="1:3">
      <c r="A20" s="3" t="s">
        <v>103</v>
      </c>
      <c r="B20" s="3" t="s">
        <v>86</v>
      </c>
      <c r="C20" s="3" t="s">
        <v>87</v>
      </c>
    </row>
    <row r="21" spans="1:3">
      <c r="A21" s="11" t="s">
        <v>104</v>
      </c>
      <c r="B21" s="12">
        <v>5</v>
      </c>
      <c r="C21" s="13">
        <f>B21/$B$23</f>
        <v>1</v>
      </c>
    </row>
    <row r="22" spans="1:3">
      <c r="A22" s="14" t="s">
        <v>105</v>
      </c>
      <c r="B22" s="15">
        <v>0</v>
      </c>
      <c r="C22" s="16">
        <f>B22/$B$23</f>
        <v>0</v>
      </c>
    </row>
    <row r="23" spans="1:3">
      <c r="A23" s="17" t="s">
        <v>93</v>
      </c>
      <c r="B23" s="18">
        <f>SUM(B21:B22)</f>
        <v>5</v>
      </c>
      <c r="C23" s="19">
        <f>B23/$B$23</f>
        <v>1</v>
      </c>
    </row>
    <row r="25" ht="15" customHeight="1" spans="1:3">
      <c r="A25" s="20" t="s">
        <v>75</v>
      </c>
    </row>
    <row r="26" ht="22.35" customHeight="1" spans="1:3">
      <c r="A26" s="21" t="s">
        <v>106</v>
      </c>
    </row>
    <row r="27" ht="15" customHeight="1" spans="1:3">
      <c r="A27" s="22" t="s">
        <v>107</v>
      </c>
    </row>
    <row r="28" ht="15" customHeight="1" spans="1:3">
      <c r="A28" s="21" t="s">
        <v>108</v>
      </c>
    </row>
    <row r="29" ht="15" customHeight="1" spans="1:3">
      <c r="A29" s="21" t="s">
        <v>109</v>
      </c>
    </row>
    <row r="30" ht="15" customHeight="1" spans="1:3">
      <c r="A30" s="21" t="s">
        <v>110</v>
      </c>
    </row>
    <row r="31" ht="15" customHeight="1" spans="1:3">
      <c r="A31" s="21" t="s">
        <v>111</v>
      </c>
    </row>
    <row r="32" ht="15" customHeight="1" spans="1:3">
      <c r="A32" s="21" t="s">
        <v>112</v>
      </c>
    </row>
    <row r="33" ht="15" customHeight="1" spans="1:1">
      <c r="A33" s="21" t="s">
        <v>113</v>
      </c>
    </row>
  </sheetData>
  <mergeCells count="22">
    <mergeCell ref="A1:C1"/>
    <mergeCell ref="A2:C2"/>
    <mergeCell ref="A8:C8"/>
    <mergeCell ref="A9:C9"/>
    <mergeCell ref="A10:C10"/>
    <mergeCell ref="A11:C11"/>
    <mergeCell ref="A12:C12"/>
    <mergeCell ref="A13:C13"/>
    <mergeCell ref="A14:C14"/>
    <mergeCell ref="A15:C15"/>
    <mergeCell ref="A16:C16"/>
    <mergeCell ref="A18:C18"/>
    <mergeCell ref="A19:C19"/>
    <mergeCell ref="A25:C25"/>
    <mergeCell ref="A26:C26"/>
    <mergeCell ref="A27:C27"/>
    <mergeCell ref="A28:C28"/>
    <mergeCell ref="A29:C29"/>
    <mergeCell ref="A30:C30"/>
    <mergeCell ref="A31:C31"/>
    <mergeCell ref="A32:C32"/>
    <mergeCell ref="A33:C33"/>
  </mergeCells>
  <pageMargins left="0.75" right="0.75" top="1" bottom="1" header="0.511811023622047" footer="0.511811023622047"/>
  <pageSetup paperSize="9" orientation="portrait" horizontalDpi="300" verticalDpi="3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3"/>
  <sheetViews>
    <sheetView workbookViewId="0">
      <selection activeCell="A13" sqref="A13:C13"/>
    </sheetView>
  </sheetViews>
  <sheetFormatPr defaultColWidth="8.68141592920354" defaultRowHeight="14.25" outlineLevelCol="2"/>
  <cols>
    <col min="1" max="1" width="16" customWidth="1"/>
    <col min="2" max="2" width="22" customWidth="1"/>
    <col min="3" max="3" width="74" customWidth="1"/>
  </cols>
  <sheetData>
    <row r="1" ht="16.4" customHeight="1" spans="1:3">
      <c r="A1" s="1" t="s">
        <v>116</v>
      </c>
    </row>
    <row r="2" ht="43.5" customHeight="1" spans="1:3">
      <c r="A2" s="2" t="s">
        <v>117</v>
      </c>
    </row>
    <row r="3" spans="1:3">
      <c r="A3" s="3" t="s">
        <v>118</v>
      </c>
      <c r="B3" s="3" t="s">
        <v>119</v>
      </c>
      <c r="C3" s="3" t="s">
        <v>120</v>
      </c>
    </row>
    <row r="4" ht="57.75" customHeight="1" spans="1:3">
      <c r="A4" s="4" t="s">
        <v>121</v>
      </c>
      <c r="B4" s="5" t="s">
        <v>122</v>
      </c>
      <c r="C4" s="6" t="s">
        <v>123</v>
      </c>
    </row>
    <row r="5" ht="57.75" customHeight="1" spans="1:3">
      <c r="A5" s="7"/>
      <c r="B5" s="8" t="s">
        <v>124</v>
      </c>
      <c r="C5" s="9" t="s">
        <v>125</v>
      </c>
    </row>
    <row r="6" ht="57.75" customHeight="1" spans="1:3">
      <c r="A6" s="7"/>
      <c r="B6" s="8" t="s">
        <v>126</v>
      </c>
      <c r="C6" s="9" t="s">
        <v>127</v>
      </c>
    </row>
    <row r="7" ht="57.75" customHeight="1" spans="1:3">
      <c r="A7" s="10"/>
      <c r="B7" s="8" t="s">
        <v>128</v>
      </c>
      <c r="C7" s="9" t="s">
        <v>129</v>
      </c>
    </row>
    <row r="8" ht="57.75" customHeight="1" spans="1:3">
      <c r="A8" s="4" t="s">
        <v>130</v>
      </c>
      <c r="B8" s="8" t="s">
        <v>131</v>
      </c>
      <c r="C8" s="9" t="s">
        <v>132</v>
      </c>
    </row>
    <row r="9" ht="57.75" customHeight="1" spans="1:3">
      <c r="A9" s="10"/>
      <c r="B9" s="8" t="s">
        <v>133</v>
      </c>
      <c r="C9" s="9" t="s">
        <v>134</v>
      </c>
    </row>
    <row r="10" ht="57.75" customHeight="1" spans="1:3">
      <c r="A10" s="4" t="s">
        <v>135</v>
      </c>
      <c r="B10" s="8" t="s">
        <v>136</v>
      </c>
      <c r="C10" s="9" t="s">
        <v>137</v>
      </c>
    </row>
    <row r="11" ht="57.75" customHeight="1" spans="1:3">
      <c r="A11" s="10"/>
      <c r="B11" s="8" t="s">
        <v>138</v>
      </c>
      <c r="C11" s="9" t="s">
        <v>139</v>
      </c>
    </row>
    <row r="13" ht="22.35" customHeight="1" spans="1:3">
      <c r="A13" s="2" t="s">
        <v>140</v>
      </c>
    </row>
  </sheetData>
  <mergeCells count="6">
    <mergeCell ref="A1:C1"/>
    <mergeCell ref="A2:C2"/>
    <mergeCell ref="A13:C13"/>
    <mergeCell ref="A4:A7"/>
    <mergeCell ref="A8:A9"/>
    <mergeCell ref="A10:A11"/>
  </mergeCell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表1_文献信息表</vt:lpstr>
      <vt:lpstr>表2_描述性统计</vt:lpstr>
      <vt:lpstr>表5_推断统计_原方法</vt:lpstr>
      <vt:lpstr>表7_结果可复现性评级</vt:lpstr>
      <vt:lpstr>表8_推论一致性评级</vt:lpstr>
      <vt:lpstr>表10_不可复现原因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心.在彷徨</cp:lastModifiedBy>
  <cp:revision>0</cp:revision>
  <dcterms:created xsi:type="dcterms:W3CDTF">2026-06-07T08:35:00Z</dcterms:created>
  <dcterms:modified xsi:type="dcterms:W3CDTF">2026-06-22T11:15:30Z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19ACB4AD82CD4F8DAA59F419FD80E382_12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